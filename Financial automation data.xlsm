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maria\Desktop\ACTUALIZANDO VBA EXCEL\Project\"/>
    </mc:Choice>
  </mc:AlternateContent>
  <xr:revisionPtr revIDLastSave="0" documentId="13_ncr:1_{3BF73A69-DA01-425E-A9ED-D856732A3AA7}" xr6:coauthVersionLast="47" xr6:coauthVersionMax="47" xr10:uidLastSave="{00000000-0000-0000-0000-000000000000}"/>
  <bookViews>
    <workbookView xWindow="-120" yWindow="-120" windowWidth="20730" windowHeight="11160" tabRatio="638" activeTab="4" xr2:uid="{DF9009FF-B51E-49C1-8F49-6441C70E81D7}"/>
  </bookViews>
  <sheets>
    <sheet name="FACT_FINANCIALS_CORRECT" sheetId="27" r:id="rId1"/>
    <sheet name="PVTABLES" sheetId="28" r:id="rId2"/>
    <sheet name="DASHBOARD" sheetId="29" r:id="rId3"/>
    <sheet name="FACT_FINANCIALS_MAX" sheetId="24" r:id="rId4"/>
    <sheet name="TICKERS" sheetId="18" r:id="rId5"/>
  </sheets>
  <definedNames>
    <definedName name="ExternalData_2" localSheetId="3" hidden="1">FACT_FINANCIALS_MAX!$A$1:$R$2</definedName>
    <definedName name="ExternalData_4" localSheetId="0" hidden="1">FACT_FINANCIALS_CORRECT!$A$1:$W$2</definedName>
    <definedName name="Slicer_Ticker">#N/A</definedName>
  </definedNames>
  <calcPr calcId="191029"/>
  <pivotCaches>
    <pivotCache cacheId="3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53" i="28" l="1"/>
  <c r="D54" i="28"/>
  <c r="D55" i="28"/>
  <c r="D56" i="28"/>
  <c r="D52" i="28"/>
  <c r="Q7" i="29"/>
  <c r="Q6" i="29" s="1"/>
  <c r="Q5" i="29"/>
  <c r="Q3" i="29"/>
  <c r="Q2" i="29"/>
  <c r="Q4" i="29"/>
  <c r="E52" i="28"/>
  <c r="E55" i="28"/>
  <c r="E53" i="28"/>
  <c r="E54" i="28"/>
  <c r="E56" i="28"/>
  <c r="F52" i="28" l="1"/>
  <c r="F56" i="28"/>
  <c r="F55" i="28"/>
  <c r="F54" i="28"/>
  <c r="F53"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0BED24-326E-4467-A8EC-4B24F0A91C47}" keepAlive="1" name="Query - FACT_FINANCIALS_CORRECT" description="Connection to the 'FACT_FINANCIALS_CORRECT' query in the workbook." type="5" refreshedVersion="8" background="1" saveData="1">
    <dbPr connection="Provider=Microsoft.Mashup.OleDb.1;Data Source=$Workbook$;Location=FACT_FINANCIALS_CORRECT;Extended Properties=&quot;&quot;" command="SELECT * FROM [FACT_FINANCIALS_CORRECT]"/>
  </connection>
  <connection id="2" xr16:uid="{032E947B-7C81-40C6-897D-DB57B5D2BE8B}" keepAlive="1" name="Query - FACT_FINANCIALS_MAX" description="Connection to the 'FACT_FINANCIALS_MAX' query in the workbook." type="5" refreshedVersion="8" background="1" saveData="1">
    <dbPr connection="Provider=Microsoft.Mashup.OleDb.1;Data Source=$Workbook$;Location=FACT_FINANCIALS_MAX;Extended Properties=&quot;&quot;" command="SELECT * FROM [FACT_FINANCIALS_MAX]"/>
  </connection>
  <connection id="3" xr16:uid="{6EC201E7-B9E1-4D20-AD77-50224E9CC84A}" keepAlive="1" name="Query - FINANCIAL_RATIO" description="Connection to the 'FINANCIAL_RATIO' query in the workbook." type="5" refreshedVersion="8" background="1" saveData="1">
    <dbPr connection="Provider=Microsoft.Mashup.OleDb.1;Data Source=$Workbook$;Location=FINANCIAL_RATIO;Extended Properties=&quot;&quot;" command="SELECT * FROM [FINANCIAL_RATIO]"/>
  </connection>
</connections>
</file>

<file path=xl/sharedStrings.xml><?xml version="1.0" encoding="utf-8"?>
<sst xmlns="http://schemas.openxmlformats.org/spreadsheetml/2006/main" count="100" uniqueCount="51">
  <si>
    <t>Company</t>
  </si>
  <si>
    <t>Ticker</t>
  </si>
  <si>
    <t>AAPL</t>
  </si>
  <si>
    <t>Date</t>
  </si>
  <si>
    <t>Revenue</t>
  </si>
  <si>
    <t>EBITDA</t>
  </si>
  <si>
    <t>netIncome</t>
  </si>
  <si>
    <t>NetProfitMargin</t>
  </si>
  <si>
    <t>OperatingProfitMargin</t>
  </si>
  <si>
    <t>AssetTurnover</t>
  </si>
  <si>
    <t>Profitability</t>
  </si>
  <si>
    <t>Efficiency</t>
  </si>
  <si>
    <t>Leverage</t>
  </si>
  <si>
    <t>DebtToEquityRatio</t>
  </si>
  <si>
    <t>Year</t>
  </si>
  <si>
    <t>Financial Health</t>
  </si>
  <si>
    <t>Revenue_disp</t>
  </si>
  <si>
    <t>EBITDA_disp</t>
  </si>
  <si>
    <t>NetIncome_disp</t>
  </si>
  <si>
    <t>NetIncome_dsh</t>
  </si>
  <si>
    <t>Revenue_dsh</t>
  </si>
  <si>
    <t>EBITDA_dsh</t>
  </si>
  <si>
    <t>Row Labels</t>
  </si>
  <si>
    <t>Sum of Revenue_dsh</t>
  </si>
  <si>
    <t>Sum of NetIncome_dsh</t>
  </si>
  <si>
    <t>Sum of NetProfitMargin</t>
  </si>
  <si>
    <t>Sum of OperatingProfitMargin</t>
  </si>
  <si>
    <t>Sum of DebtToEquityRatio</t>
  </si>
  <si>
    <t>Sum of AssetTurnover</t>
  </si>
  <si>
    <t>Sum of EBITDA_dsh</t>
  </si>
  <si>
    <t>Net Profit Margin</t>
  </si>
  <si>
    <t>Operating Profit Margin</t>
  </si>
  <si>
    <t>Revenue (B)</t>
  </si>
  <si>
    <t>Net Income (B)</t>
  </si>
  <si>
    <t>Ebitda (B)</t>
  </si>
  <si>
    <t>Net Profit Margin (%)</t>
  </si>
  <si>
    <t>Debt To Equity</t>
  </si>
  <si>
    <t>Asset Turnover</t>
  </si>
  <si>
    <t>Operating Profit Margin (%)</t>
  </si>
  <si>
    <t>REVENUE</t>
  </si>
  <si>
    <t>NETINCOME</t>
  </si>
  <si>
    <t>net profit margin</t>
  </si>
  <si>
    <t>Score Health</t>
  </si>
  <si>
    <t>Sum of Score Health</t>
  </si>
  <si>
    <t>Score</t>
  </si>
  <si>
    <t>Financial</t>
  </si>
  <si>
    <t>HISTORICAL HEALTH</t>
  </si>
  <si>
    <t>score</t>
  </si>
  <si>
    <t>label</t>
  </si>
  <si>
    <t>(All)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</si>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</sst>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quot;€&quot;"/>
    <numFmt numFmtId="165" formatCode="_-[$$-2809]* #,##0.00_-;\-[$$-2809]* #,##0.00_-;_-[$$-2809]* &quot;-&quot;??_-;_-@_-"/>
  </numFmts>
  <fonts count="4" x14ac:knownFonts="1">
    <font>
      <sz val="11"/>
      <color theme="1"/>
      <name val="Aptos Narrow"/>
      <family val="2"/>
      <scheme val="minor"/>
    </font>
    <font>
      <sz val="11"/>
      <color theme="0"/>
      <name val="Aptos Narrow"/>
      <family val="2"/>
      <scheme val="minor"/>
    </font>
    <font>
      <b/>
      <sz val="11"/>
      <color theme="0"/>
      <name val="Aptos Narrow"/>
      <family val="2"/>
      <scheme val="minor"/>
    </font>
    <font>
      <sz val="18"/>
      <color theme="1"/>
      <name val="Aptos Narrow"/>
      <family val="2"/>
      <scheme val="minor"/>
    </font>
  </fonts>
  <fills count="4">
    <fill>
      <patternFill patternType="none"/>
    </fill>
    <fill>
      <patternFill patternType="gray125"/>
    </fill>
    <fill>
      <patternFill patternType="solid">
        <fgColor theme="3"/>
        <bgColor indexed="64"/>
      </patternFill>
    </fill>
    <fill>
      <patternFill patternType="solid">
        <fgColor rgb="FF0F1C2E"/>
        <bgColor indexed="64"/>
      </patternFill>
    </fill>
  </fills>
  <borders count="1">
    <border>
      <left/>
      <right/>
      <top/>
      <bottom/>
      <diagonal/>
    </border>
  </borders>
  <cellStyleXfs count="1">
    <xf numFmtId="0" fontId="0" fillId="0" borderId="0"/>
  </cellStyleXfs>
  <cellXfs count="15">
    <xf numFmtId="0" fontId="0" fillId="0" borderId="0" xfId="0"/>
    <xf numFmtId="14" fontId="0" fillId="0" borderId="0" xfId="0" applyNumberFormat="1"/>
    <xf numFmtId="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1" fillId="3" borderId="0" xfId="0" applyFont="1" applyFill="1" applyAlignment="1">
      <alignment horizontal="center"/>
    </xf>
    <xf numFmtId="165" fontId="0" fillId="0" borderId="0" xfId="0" applyNumberFormat="1"/>
    <xf numFmtId="0" fontId="2" fillId="2" borderId="0" xfId="0" applyFont="1" applyFill="1"/>
    <xf numFmtId="0" fontId="3" fillId="0" borderId="0" xfId="0" pivotButton="1" applyFont="1"/>
    <xf numFmtId="0" fontId="3" fillId="0" borderId="0" xfId="0" applyFont="1"/>
    <xf numFmtId="0" fontId="3" fillId="0" borderId="0" xfId="0" applyFont="1" applyAlignment="1">
      <alignment horizontal="left"/>
    </xf>
    <xf numFmtId="0" fontId="3" fillId="0" borderId="0" xfId="0" applyNumberFormat="1" applyFont="1"/>
  </cellXfs>
  <cellStyles count="1">
    <cellStyle name="Normal" xfId="0" builtinId="0"/>
  </cellStyles>
  <dxfs count="31">
    <dxf>
      <alignment horizontal="center"/>
    </dxf>
    <dxf>
      <alignment horizontal="center"/>
    </dxf>
    <dxf>
      <fill>
        <patternFill patternType="solid">
          <bgColor rgb="FF0F1C2E"/>
        </patternFill>
      </fill>
    </dxf>
    <dxf>
      <fill>
        <patternFill patternType="solid">
          <bgColor rgb="FF0F1C2E"/>
        </patternFill>
      </fill>
    </dxf>
    <dxf>
      <font>
        <color theme="0"/>
      </font>
    </dxf>
    <dxf>
      <font>
        <color theme="0"/>
      </font>
    </dxf>
    <dxf>
      <font>
        <sz val="18"/>
      </font>
    </dxf>
    <dxf>
      <font>
        <sz val="18"/>
      </font>
    </dxf>
    <dxf>
      <font>
        <sz val="18"/>
      </font>
    </dxf>
    <dxf>
      <font>
        <sz val="18"/>
      </font>
    </dxf>
    <dxf>
      <numFmt numFmtId="165" formatCode="_-[$$-2809]* #,##0.00_-;\-[$$-2809]* #,##0.00_-;_-[$$-2809]* &quot;-&quot;??_-;_-@_-"/>
    </dxf>
    <dxf>
      <numFmt numFmtId="164" formatCode="#,##0.00\ &quot;€&quot;"/>
    </dxf>
    <dxf>
      <numFmt numFmtId="19" formatCode="dd/mm/yyyy"/>
    </dxf>
    <dxf>
      <numFmt numFmtId="0" formatCode="General"/>
    </dxf>
    <dxf>
      <font>
        <color theme="0"/>
      </font>
    </dxf>
    <dxf>
      <font>
        <color theme="0"/>
      </font>
    </dxf>
    <dxf>
      <fill>
        <patternFill patternType="solid">
          <bgColor rgb="FF0F1C2E"/>
        </patternFill>
      </fill>
    </dxf>
    <dxf>
      <fill>
        <patternFill patternType="solid">
          <bgColor rgb="FF0F1C2E"/>
        </patternFill>
      </fill>
    </dxf>
    <dxf>
      <alignment horizontal="center"/>
    </dxf>
    <dxf>
      <alignment horizontal="center"/>
    </dxf>
    <dxf>
      <numFmt numFmtId="165" formatCode="_-[$$-2809]* #,##0.00_-;\-[$$-2809]* #,##0.00_-;_-[$$-2809]* &quot;-&quot;??_-;_-@_-"/>
    </dxf>
    <dxf>
      <font>
        <sz val="18"/>
      </font>
    </dxf>
    <dxf>
      <font>
        <sz val="18"/>
      </font>
    </dxf>
    <dxf>
      <font>
        <sz val="18"/>
      </font>
    </dxf>
    <dxf>
      <font>
        <sz val="18"/>
      </font>
    </dxf>
    <dxf>
      <numFmt numFmtId="0" formatCode="General"/>
    </dxf>
    <dxf>
      <numFmt numFmtId="0" formatCode="General"/>
    </dxf>
    <dxf>
      <numFmt numFmtId="0" formatCode="General"/>
    </dxf>
    <dxf>
      <numFmt numFmtId="19" formatCode="dd/mm/yyyy"/>
    </dxf>
    <dxf>
      <numFmt numFmtId="0" formatCode="General"/>
    </dxf>
    <dxf>
      <numFmt numFmtId="0" formatCode="General"/>
    </dxf>
  </dxfs>
  <tableStyles count="0" defaultTableStyle="TableStyleMedium2" defaultPivotStyle="PivotStyleLight16"/>
  <colors>
    <mruColors>
      <color rgb="FF0E2841"/>
      <color rgb="FF00E676"/>
      <color rgb="FF0F1C2E"/>
      <color rgb="FF0B1A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Financial Pipeline Data.xlsm]PVTABLES!PivotTable4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PVTABLES!$B$11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PVTABLES!$A$12</c:f>
              <c:strCache>
                <c:ptCount val="1"/>
                <c:pt idx="0">
                  <c:v>(blank)</c:v>
                </c:pt>
              </c:strCache>
            </c:strRef>
          </c:cat>
          <c:val>
            <c:numRef>
              <c:f>PVTABLES!$B$12</c:f>
              <c:numCache>
                <c:formatCode>General</c:formatCode>
                <c:ptCount val="1"/>
              </c:numCache>
            </c:numRef>
          </c:val>
          <c:smooth val="0"/>
          <c:extLst>
            <c:ext xmlns:c16="http://schemas.microsoft.com/office/drawing/2014/chart" uri="{C3380CC4-5D6E-409C-BE32-E72D297353CC}">
              <c16:uniqueId val="{00000000-E12A-4E01-8847-3915D855A5F3}"/>
            </c:ext>
          </c:extLst>
        </c:ser>
        <c:dLbls>
          <c:showLegendKey val="0"/>
          <c:showVal val="0"/>
          <c:showCatName val="0"/>
          <c:showSerName val="0"/>
          <c:showPercent val="0"/>
          <c:showBubbleSize val="0"/>
        </c:dLbls>
        <c:marker val="1"/>
        <c:smooth val="0"/>
        <c:axId val="2123864431"/>
        <c:axId val="593921023"/>
      </c:lineChart>
      <c:catAx>
        <c:axId val="212386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593921023"/>
        <c:crosses val="autoZero"/>
        <c:auto val="1"/>
        <c:lblAlgn val="ctr"/>
        <c:lblOffset val="100"/>
        <c:noMultiLvlLbl val="0"/>
      </c:catAx>
      <c:valAx>
        <c:axId val="593921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23864431"/>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Financial Pipeline Data.xlsm]PVTABLES!PivotTable5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PVTABLES!$B$20</c:f>
              <c:strCache>
                <c:ptCount val="1"/>
                <c:pt idx="0">
                  <c:v>Net Profit Margin</c:v>
                </c:pt>
              </c:strCache>
            </c:strRef>
          </c:tx>
          <c:spPr>
            <a:solidFill>
              <a:schemeClr val="accent1"/>
            </a:solidFill>
            <a:ln>
              <a:noFill/>
            </a:ln>
            <a:effectLst/>
          </c:spPr>
          <c:invertIfNegative val="0"/>
          <c:cat>
            <c:strRef>
              <c:f>PVTABLES!$A$21</c:f>
              <c:strCache>
                <c:ptCount val="1"/>
                <c:pt idx="0">
                  <c:v>(blank)</c:v>
                </c:pt>
              </c:strCache>
            </c:strRef>
          </c:cat>
          <c:val>
            <c:numRef>
              <c:f>PVTABLES!$B$21</c:f>
              <c:numCache>
                <c:formatCode>General</c:formatCode>
                <c:ptCount val="1"/>
              </c:numCache>
            </c:numRef>
          </c:val>
          <c:extLst>
            <c:ext xmlns:c16="http://schemas.microsoft.com/office/drawing/2014/chart" uri="{C3380CC4-5D6E-409C-BE32-E72D297353CC}">
              <c16:uniqueId val="{00000000-2667-4606-85A5-AD00748ADFC5}"/>
            </c:ext>
          </c:extLst>
        </c:ser>
        <c:ser>
          <c:idx val="1"/>
          <c:order val="1"/>
          <c:tx>
            <c:strRef>
              <c:f>PVTABLES!$C$20</c:f>
              <c:strCache>
                <c:ptCount val="1"/>
                <c:pt idx="0">
                  <c:v>Operating Profit Margin</c:v>
                </c:pt>
              </c:strCache>
            </c:strRef>
          </c:tx>
          <c:spPr>
            <a:solidFill>
              <a:schemeClr val="accent2"/>
            </a:solidFill>
            <a:ln>
              <a:noFill/>
            </a:ln>
            <a:effectLst/>
          </c:spPr>
          <c:invertIfNegative val="0"/>
          <c:cat>
            <c:strRef>
              <c:f>PVTABLES!$A$21</c:f>
              <c:strCache>
                <c:ptCount val="1"/>
                <c:pt idx="0">
                  <c:v>(blank)</c:v>
                </c:pt>
              </c:strCache>
            </c:strRef>
          </c:cat>
          <c:val>
            <c:numRef>
              <c:f>PVTABLES!$C$21</c:f>
              <c:numCache>
                <c:formatCode>General</c:formatCode>
                <c:ptCount val="1"/>
              </c:numCache>
            </c:numRef>
          </c:val>
          <c:extLst>
            <c:ext xmlns:c16="http://schemas.microsoft.com/office/drawing/2014/chart" uri="{C3380CC4-5D6E-409C-BE32-E72D297353CC}">
              <c16:uniqueId val="{00000001-2667-4606-85A5-AD00748ADFC5}"/>
            </c:ext>
          </c:extLst>
        </c:ser>
        <c:ser>
          <c:idx val="2"/>
          <c:order val="2"/>
          <c:tx>
            <c:strRef>
              <c:f>PVTABLES!$D$20</c:f>
              <c:strCache>
                <c:ptCount val="1"/>
                <c:pt idx="0">
                  <c:v>Sum of EBITDA_dsh</c:v>
                </c:pt>
              </c:strCache>
            </c:strRef>
          </c:tx>
          <c:spPr>
            <a:solidFill>
              <a:schemeClr val="accent3"/>
            </a:solidFill>
            <a:ln>
              <a:noFill/>
            </a:ln>
            <a:effectLst/>
          </c:spPr>
          <c:invertIfNegative val="0"/>
          <c:cat>
            <c:strRef>
              <c:f>PVTABLES!$A$21</c:f>
              <c:strCache>
                <c:ptCount val="1"/>
                <c:pt idx="0">
                  <c:v>(blank)</c:v>
                </c:pt>
              </c:strCache>
            </c:strRef>
          </c:cat>
          <c:val>
            <c:numRef>
              <c:f>PVTABLES!$D$21</c:f>
              <c:numCache>
                <c:formatCode>General</c:formatCode>
                <c:ptCount val="1"/>
              </c:numCache>
            </c:numRef>
          </c:val>
          <c:extLst>
            <c:ext xmlns:c16="http://schemas.microsoft.com/office/drawing/2014/chart" uri="{C3380CC4-5D6E-409C-BE32-E72D297353CC}">
              <c16:uniqueId val="{00000002-3D51-4075-BA18-5C05944D42E7}"/>
            </c:ext>
          </c:extLst>
        </c:ser>
        <c:dLbls>
          <c:showLegendKey val="0"/>
          <c:showVal val="0"/>
          <c:showCatName val="0"/>
          <c:showSerName val="0"/>
          <c:showPercent val="0"/>
          <c:showBubbleSize val="0"/>
        </c:dLbls>
        <c:gapWidth val="219"/>
        <c:axId val="313734431"/>
        <c:axId val="313733471"/>
      </c:barChart>
      <c:catAx>
        <c:axId val="31373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3733471"/>
        <c:crosses val="autoZero"/>
        <c:auto val="1"/>
        <c:lblAlgn val="ctr"/>
        <c:lblOffset val="100"/>
        <c:noMultiLvlLbl val="0"/>
      </c:catAx>
      <c:valAx>
        <c:axId val="313733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3734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[Automation Financial Pipeline Data.xlsm]PVTABLES!PivotTable1</c:name>
    <c:fmtId val="1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ES"/>
              <a:t>REVENUE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PVTABLES!$B$3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cat>
            <c:strRef>
              <c:f>PVTABLES!$A$4</c:f>
              <c:strCache>
                <c:ptCount val="1"/>
                <c:pt idx="0">
                  <c:v>(blank)</c:v>
                </c:pt>
              </c:strCache>
            </c:strRef>
          </c:cat>
          <c:val>
            <c:numRef>
              <c:f>PVTABLES!$B$4</c:f>
              <c:numCache>
                <c:formatCode>_-[$$-2809]* #,##0.00_-;\-[$$-2809]* #,##0.00_-;_-[$$-2809]* "-"??_-;_-@_-</c:formatCode>
                <c:ptCount val="1"/>
              </c:numCache>
            </c:numRef>
          </c:val>
          <c:smooth val="0"/>
          <c:extLst>
            <c:ext xmlns:c16="http://schemas.microsoft.com/office/drawing/2014/chart" uri="{C3380CC4-5D6E-409C-BE32-E72D297353CC}">
              <c16:uniqueId val="{00000002-738C-403C-ACA1-9EC93FBC1FB1}"/>
            </c:ext>
          </c:extLst>
        </c:ser>
        <c:dLbls>
          <c:showLegendKey val="0"/>
          <c:showVal val="0"/>
          <c:showCatName val="0"/>
          <c:showSerName val="0"/>
          <c:showPercent val="0"/>
          <c:showBubbleSize val="0"/>
        </c:dLbls>
        <c:marker val="1"/>
        <c:smooth val="0"/>
        <c:axId val="801959951"/>
        <c:axId val="801961391"/>
      </c:lineChart>
      <c:catAx>
        <c:axId val="8019599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801961391"/>
        <c:crosses val="autoZero"/>
        <c:auto val="1"/>
        <c:lblAlgn val="ctr"/>
        <c:lblOffset val="100"/>
        <c:noMultiLvlLbl val="0"/>
      </c:catAx>
      <c:valAx>
        <c:axId val="801961391"/>
        <c:scaling>
          <c:orientation val="minMax"/>
        </c:scaling>
        <c:delete val="0"/>
        <c:axPos val="l"/>
        <c:majorGridlines>
          <c:spPr>
            <a:ln w="9525" cap="flat" cmpd="sng" algn="ctr">
              <a:solidFill>
                <a:schemeClr val="lt1">
                  <a:lumMod val="95000"/>
                  <a:alpha val="10000"/>
                </a:schemeClr>
              </a:solidFill>
              <a:round/>
            </a:ln>
            <a:effectLst/>
          </c:spPr>
        </c:majorGridlines>
        <c:numFmt formatCode="_-[$$-2809]* #,##0.00_-;\-[$$-2809]* #,##0.00_-;_-[$$-2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80195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3.306082019469439E-2"/>
          <c:y val="0.19486111111111112"/>
          <c:w val="0.93938849630972698"/>
          <c:h val="0.46662839020122487"/>
        </c:manualLayout>
      </c:layout>
      <c:lineChart>
        <c:grouping val="percentStacked"/>
        <c:varyColors val="0"/>
        <c:ser>
          <c:idx val="1"/>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6B79F65-07F1-4B54-B440-9EA3F8DD4919}" type="CELLRANGE">
                      <a:rPr lang="en-U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61D-4353-B272-C3408D6C1BEE}"/>
                </c:ext>
              </c:extLst>
            </c:dLbl>
            <c:dLbl>
              <c:idx val="1"/>
              <c:tx>
                <c:rich>
                  <a:bodyPr/>
                  <a:lstStyle/>
                  <a:p>
                    <a:fld id="{800189DF-EACA-4480-A2E6-B592D7C58648}"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61D-4353-B272-C3408D6C1BEE}"/>
                </c:ext>
              </c:extLst>
            </c:dLbl>
            <c:dLbl>
              <c:idx val="2"/>
              <c:tx>
                <c:rich>
                  <a:bodyPr/>
                  <a:lstStyle/>
                  <a:p>
                    <a:fld id="{F023F425-BF00-4012-A102-D45FD6D636F3}"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61D-4353-B272-C3408D6C1BEE}"/>
                </c:ext>
              </c:extLst>
            </c:dLbl>
            <c:dLbl>
              <c:idx val="3"/>
              <c:tx>
                <c:rich>
                  <a:bodyPr/>
                  <a:lstStyle/>
                  <a:p>
                    <a:fld id="{193C9F60-A067-4914-8FE8-882AC73FFE98}"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61D-4353-B272-C3408D6C1BEE}"/>
                </c:ext>
              </c:extLst>
            </c:dLbl>
            <c:dLbl>
              <c:idx val="4"/>
              <c:tx>
                <c:rich>
                  <a:bodyPr/>
                  <a:lstStyle/>
                  <a:p>
                    <a:fld id="{1284D5EF-53A5-4EC6-9EC4-41695EDDAAE9}"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61D-4353-B272-C3408D6C1B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PVTABLES!$D$52:$D$56</c:f>
              <c:strCache>
                <c:ptCount val="5"/>
                <c:pt idx="0">
                  <c:v>(blank)</c:v>
                </c:pt>
                <c:pt idx="1">
                  <c:v>0</c:v>
                </c:pt>
                <c:pt idx="2">
                  <c:v>0</c:v>
                </c:pt>
                <c:pt idx="3">
                  <c:v>0</c:v>
                </c:pt>
                <c:pt idx="4">
                  <c:v>0</c:v>
                </c:pt>
              </c:strCache>
            </c:strRef>
          </c:cat>
          <c:val>
            <c:numRef>
              <c:f>PVTABLES!$E$52:$E$56</c:f>
              <c:numCache>
                <c:formatCode>General</c:formatCode>
                <c:ptCount val="5"/>
                <c:pt idx="0">
                  <c:v>0</c:v>
                </c:pt>
                <c:pt idx="1">
                  <c:v>0</c:v>
                </c:pt>
                <c:pt idx="2">
                  <c:v>0</c:v>
                </c:pt>
                <c:pt idx="3">
                  <c:v>0</c:v>
                </c:pt>
                <c:pt idx="4">
                  <c:v>0</c:v>
                </c:pt>
              </c:numCache>
            </c:numRef>
          </c:val>
          <c:smooth val="0"/>
          <c:extLst>
            <c:ext xmlns:c15="http://schemas.microsoft.com/office/drawing/2012/chart" uri="{02D57815-91ED-43cb-92C2-25804820EDAC}">
              <c15:datalabelsRange>
                <c15:f>PVTABLES!$F$52:$F$56</c15:f>
                <c15:dlblRangeCache>
                  <c:ptCount val="5"/>
                  <c:pt idx="0">
                    <c:v>MEDIUM</c:v>
                  </c:pt>
                  <c:pt idx="1">
                    <c:v>#REF!</c:v>
                  </c:pt>
                  <c:pt idx="2">
                    <c:v>#REF!</c:v>
                  </c:pt>
                  <c:pt idx="3">
                    <c:v>#REF!</c:v>
                  </c:pt>
                  <c:pt idx="4">
                    <c:v>#REF!</c:v>
                  </c:pt>
                </c15:dlblRangeCache>
              </c15:datalabelsRange>
            </c:ext>
            <c:ext xmlns:c16="http://schemas.microsoft.com/office/drawing/2014/chart" uri="{C3380CC4-5D6E-409C-BE32-E72D297353CC}">
              <c16:uniqueId val="{00000001-A61D-4353-B272-C3408D6C1BEE}"/>
            </c:ext>
          </c:extLst>
        </c:ser>
        <c:dLbls>
          <c:dLblPos val="t"/>
          <c:showLegendKey val="0"/>
          <c:showVal val="1"/>
          <c:showCatName val="0"/>
          <c:showSerName val="0"/>
          <c:showPercent val="0"/>
          <c:showBubbleSize val="0"/>
        </c:dLbls>
        <c:marker val="1"/>
        <c:smooth val="0"/>
        <c:axId val="298248943"/>
        <c:axId val="298252783"/>
      </c:lineChart>
      <c:catAx>
        <c:axId val="298248943"/>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98252783"/>
        <c:crosses val="autoZero"/>
        <c:auto val="1"/>
        <c:lblAlgn val="ctr"/>
        <c:lblOffset val="100"/>
        <c:noMultiLvlLbl val="0"/>
      </c:catAx>
      <c:valAx>
        <c:axId val="298252783"/>
        <c:scaling>
          <c:orientation val="minMax"/>
        </c:scaling>
        <c:delete val="1"/>
        <c:axPos val="l"/>
        <c:numFmt formatCode="0%" sourceLinked="1"/>
        <c:majorTickMark val="out"/>
        <c:minorTickMark val="none"/>
        <c:tickLblPos val="nextTo"/>
        <c:crossAx val="29824894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[Automation Financial Pipeline Data.xlsm]PVTABLES!PivotTable1</c:name>
    <c:fmtId val="4"/>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s-ES"/>
              <a:t>REVENUE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PVTABLES!$B$3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cat>
            <c:strRef>
              <c:f>PVTABLES!$A$4</c:f>
              <c:strCache>
                <c:ptCount val="1"/>
                <c:pt idx="0">
                  <c:v>(blank)</c:v>
                </c:pt>
              </c:strCache>
            </c:strRef>
          </c:cat>
          <c:val>
            <c:numRef>
              <c:f>PVTABLES!$B$4</c:f>
              <c:numCache>
                <c:formatCode>_-[$$-2809]* #,##0.00_-;\-[$$-2809]* #,##0.00_-;_-[$$-2809]* "-"??_-;_-@_-</c:formatCode>
                <c:ptCount val="1"/>
              </c:numCache>
            </c:numRef>
          </c:val>
          <c:smooth val="0"/>
          <c:extLst>
            <c:ext xmlns:c16="http://schemas.microsoft.com/office/drawing/2014/chart" uri="{C3380CC4-5D6E-409C-BE32-E72D297353CC}">
              <c16:uniqueId val="{00000002-4CA3-4CCB-98F2-9434D1124667}"/>
            </c:ext>
          </c:extLst>
        </c:ser>
        <c:dLbls>
          <c:showLegendKey val="0"/>
          <c:showVal val="0"/>
          <c:showCatName val="0"/>
          <c:showSerName val="0"/>
          <c:showPercent val="0"/>
          <c:showBubbleSize val="0"/>
        </c:dLbls>
        <c:marker val="1"/>
        <c:smooth val="0"/>
        <c:axId val="801959951"/>
        <c:axId val="801961391"/>
      </c:lineChart>
      <c:catAx>
        <c:axId val="8019599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801961391"/>
        <c:crosses val="autoZero"/>
        <c:auto val="1"/>
        <c:lblAlgn val="ctr"/>
        <c:lblOffset val="100"/>
        <c:noMultiLvlLbl val="0"/>
      </c:catAx>
      <c:valAx>
        <c:axId val="801961391"/>
        <c:scaling>
          <c:orientation val="minMax"/>
        </c:scaling>
        <c:delete val="0"/>
        <c:axPos val="l"/>
        <c:majorGridlines>
          <c:spPr>
            <a:ln w="9525" cap="flat" cmpd="sng" algn="ctr">
              <a:solidFill>
                <a:schemeClr val="tx1">
                  <a:lumMod val="75000"/>
                  <a:lumOff val="25000"/>
                </a:schemeClr>
              </a:solidFill>
              <a:round/>
            </a:ln>
            <a:effectLst/>
          </c:spPr>
        </c:majorGridlines>
        <c:numFmt formatCode="_-[$$-2809]* #,##0.00_-;\-[$$-2809]* #,##0.00_-;_-[$$-2809]* &quot;-&quot;??_-;_-@_-" sourceLinked="1"/>
        <c:majorTickMark val="none"/>
        <c:minorTickMark val="none"/>
        <c:tickLblPos val="nextTo"/>
        <c:spPr>
          <a:solidFill>
            <a:srgbClr val="0B1A2A"/>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801959951"/>
        <c:crosses val="autoZero"/>
        <c:crossBetween val="between"/>
      </c:valAx>
      <c:spPr>
        <a:noFill/>
        <a:ln>
          <a:solidFill>
            <a:schemeClr val="tx1">
              <a:lumMod val="65000"/>
              <a:lumOff val="35000"/>
              <a:alpha val="98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Financial Pipeline Data.xlsm]PVTABLES!PivotTable4</c:name>
    <c:fmtId val="17"/>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t>NETINCOME</a:t>
            </a:r>
          </a:p>
        </c:rich>
      </c:tx>
      <c:layout>
        <c:manualLayout>
          <c:xMode val="edge"/>
          <c:yMode val="edge"/>
          <c:x val="0.30736960466126606"/>
          <c:y val="4.22000542888165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cked"/>
        <c:varyColors val="0"/>
        <c:ser>
          <c:idx val="0"/>
          <c:order val="0"/>
          <c:tx>
            <c:strRef>
              <c:f>PVTABLES!$B$11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AB43-4714-A6E5-594C26F5DC76}"/>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EFB4-4DB2-A7C2-B3A3DA367CC1}"/>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EFB4-4DB2-A7C2-B3A3DA367CC1}"/>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EFB4-4DB2-A7C2-B3A3DA367CC1}"/>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EFB4-4DB2-A7C2-B3A3DA367CC1}"/>
              </c:ext>
            </c:extLst>
          </c:dPt>
          <c:cat>
            <c:strRef>
              <c:f>PVTABLES!$A$12</c:f>
              <c:strCache>
                <c:ptCount val="1"/>
                <c:pt idx="0">
                  <c:v>(blank)</c:v>
                </c:pt>
              </c:strCache>
            </c:strRef>
          </c:cat>
          <c:val>
            <c:numRef>
              <c:f>PVTABLES!$B$12</c:f>
              <c:numCache>
                <c:formatCode>General</c:formatCode>
                <c:ptCount val="1"/>
              </c:numCache>
            </c:numRef>
          </c:val>
          <c:smooth val="0"/>
          <c:extLst>
            <c:ext xmlns:c16="http://schemas.microsoft.com/office/drawing/2014/chart" uri="{C3380CC4-5D6E-409C-BE32-E72D297353CC}">
              <c16:uniqueId val="{00000000-EFB4-4DB2-A7C2-B3A3DA367CC1}"/>
            </c:ext>
          </c:extLst>
        </c:ser>
        <c:dLbls>
          <c:showLegendKey val="0"/>
          <c:showVal val="0"/>
          <c:showCatName val="0"/>
          <c:showSerName val="0"/>
          <c:showPercent val="0"/>
          <c:showBubbleSize val="0"/>
        </c:dLbls>
        <c:marker val="1"/>
        <c:smooth val="0"/>
        <c:axId val="2123864431"/>
        <c:axId val="593921023"/>
      </c:lineChart>
      <c:catAx>
        <c:axId val="212386443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593921023"/>
        <c:crosses val="autoZero"/>
        <c:auto val="1"/>
        <c:lblAlgn val="ctr"/>
        <c:lblOffset val="100"/>
        <c:noMultiLvlLbl val="0"/>
      </c:catAx>
      <c:valAx>
        <c:axId val="593921023"/>
        <c:scaling>
          <c:orientation val="minMax"/>
        </c:scaling>
        <c:delete val="0"/>
        <c:axPos val="l"/>
        <c:majorGridlines>
          <c:spPr>
            <a:ln w="9525" cap="flat" cmpd="sng" algn="ctr">
              <a:solidFill>
                <a:schemeClr val="tx1">
                  <a:lumMod val="65000"/>
                  <a:lumOff val="3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2123864431"/>
        <c:crosses val="autoZero"/>
        <c:crossBetween val="between"/>
      </c:valAx>
      <c:spPr>
        <a:noFill/>
        <a:ln>
          <a:solidFill>
            <a:schemeClr val="tx1">
              <a:lumMod val="65000"/>
              <a:lumOff val="35000"/>
            </a:schemeClr>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Financial Pipeline Data.xlsm]PVTABLES!PivotTable5</c:name>
    <c:fmtId val="9"/>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ES" b="1"/>
              <a:t>MARGIN (%)</a:t>
            </a:r>
          </a:p>
        </c:rich>
      </c:tx>
      <c:layout>
        <c:manualLayout>
          <c:xMode val="edge"/>
          <c:yMode val="edge"/>
          <c:x val="0.40549414852555193"/>
          <c:y val="3.26690664500187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E67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70C0"/>
          </a:solidFill>
          <a:ln>
            <a:noFill/>
          </a:ln>
          <a:effectLst/>
        </c:spPr>
      </c:pivotFmt>
      <c:pivotFmt>
        <c:idx val="13"/>
      </c:pivotFmt>
      <c:pivotFmt>
        <c:idx val="14"/>
      </c:pivotFmt>
      <c:pivotFmt>
        <c:idx val="15"/>
      </c:pivotFmt>
      <c:pivotFmt>
        <c:idx val="16"/>
        <c:spPr>
          <a:solidFill>
            <a:schemeClr val="accent5">
              <a:lumMod val="75000"/>
            </a:schemeClr>
          </a:solidFill>
          <a:ln>
            <a:noFill/>
          </a:ln>
          <a:effectLst/>
        </c:spPr>
      </c:pivotFmt>
      <c:pivotFmt>
        <c:idx val="17"/>
        <c:spPr>
          <a:solidFill>
            <a:schemeClr val="accent5">
              <a:lumMod val="75000"/>
            </a:schemeClr>
          </a:solidFill>
          <a:ln>
            <a:noFill/>
          </a:ln>
          <a:effectLst/>
        </c:spPr>
      </c:pivotFmt>
      <c:pivotFmt>
        <c:idx val="18"/>
        <c:spPr>
          <a:solidFill>
            <a:schemeClr val="accent5">
              <a:lumMod val="75000"/>
            </a:schemeClr>
          </a:solidFill>
          <a:ln>
            <a:noFill/>
          </a:ln>
          <a:effectLst/>
        </c:spPr>
      </c:pivotFmt>
      <c:pivotFmt>
        <c:idx val="19"/>
        <c:spPr>
          <a:solidFill>
            <a:schemeClr val="accent5">
              <a:lumMod val="75000"/>
            </a:schemeClr>
          </a:solidFill>
          <a:ln>
            <a:noFill/>
          </a:ln>
          <a:effectLst/>
        </c:spPr>
      </c:pivotFmt>
      <c:pivotFmt>
        <c:idx val="20"/>
        <c:spPr>
          <a:solidFill>
            <a:schemeClr val="accent5">
              <a:lumMod val="75000"/>
            </a:schemeClr>
          </a:solidFill>
          <a:ln>
            <a:noFill/>
          </a:ln>
          <a:effectLst/>
        </c:spPr>
      </c:pivotFmt>
      <c:pivotFmt>
        <c:idx val="21"/>
        <c:spPr>
          <a:solidFill>
            <a:schemeClr val="accent5">
              <a:lumMod val="75000"/>
            </a:schemeClr>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5">
              <a:lumMod val="75000"/>
            </a:schemeClr>
          </a:solidFill>
          <a:ln>
            <a:noFill/>
          </a:ln>
          <a:effectLst/>
        </c:spPr>
      </c:pivotFmt>
      <c:pivotFmt>
        <c:idx val="25"/>
        <c:spPr>
          <a:solidFill>
            <a:schemeClr val="accent5">
              <a:lumMod val="75000"/>
            </a:schemeClr>
          </a:solidFill>
          <a:ln>
            <a:noFill/>
          </a:ln>
          <a:effectLst/>
        </c:spPr>
      </c:pivotFmt>
      <c:pivotFmt>
        <c:idx val="26"/>
        <c:spPr>
          <a:solidFill>
            <a:schemeClr val="accent5">
              <a:lumMod val="75000"/>
            </a:schemeClr>
          </a:solidFill>
          <a:ln>
            <a:noFill/>
          </a:ln>
          <a:effectLst/>
        </c:spPr>
      </c:pivotFmt>
      <c:pivotFmt>
        <c:idx val="27"/>
        <c:spPr>
          <a:solidFill>
            <a:schemeClr val="accent5">
              <a:lumMod val="75000"/>
            </a:schemeClr>
          </a:solidFill>
          <a:ln>
            <a:noFill/>
          </a:ln>
          <a:effectLst/>
        </c:spPr>
      </c:pivotFmt>
      <c:pivotFmt>
        <c:idx val="28"/>
        <c:spPr>
          <a:solidFill>
            <a:schemeClr val="accent5">
              <a:lumMod val="75000"/>
            </a:schemeClr>
          </a:solidFill>
          <a:ln>
            <a:noFill/>
          </a:ln>
          <a:effectLst/>
        </c:spPr>
      </c:pivotFmt>
    </c:pivotFmts>
    <c:plotArea>
      <c:layout/>
      <c:barChart>
        <c:barDir val="col"/>
        <c:grouping val="clustered"/>
        <c:varyColors val="0"/>
        <c:ser>
          <c:idx val="0"/>
          <c:order val="0"/>
          <c:tx>
            <c:strRef>
              <c:f>PVTABLES!$B$20</c:f>
              <c:strCache>
                <c:ptCount val="1"/>
                <c:pt idx="0">
                  <c:v>Net Profit Margin</c:v>
                </c:pt>
              </c:strCache>
            </c:strRef>
          </c:tx>
          <c:spPr>
            <a:solidFill>
              <a:srgbClr val="00E676"/>
            </a:solidFill>
            <a:ln>
              <a:noFill/>
            </a:ln>
            <a:effectLst/>
          </c:spPr>
          <c:invertIfNegative val="0"/>
          <c:cat>
            <c:strRef>
              <c:f>PVTABLES!$A$21</c:f>
              <c:strCache>
                <c:ptCount val="1"/>
                <c:pt idx="0">
                  <c:v>(blank)</c:v>
                </c:pt>
              </c:strCache>
            </c:strRef>
          </c:cat>
          <c:val>
            <c:numRef>
              <c:f>PVTABLES!$B$21</c:f>
              <c:numCache>
                <c:formatCode>General</c:formatCode>
                <c:ptCount val="1"/>
              </c:numCache>
            </c:numRef>
          </c:val>
          <c:extLst>
            <c:ext xmlns:c16="http://schemas.microsoft.com/office/drawing/2014/chart" uri="{C3380CC4-5D6E-409C-BE32-E72D297353CC}">
              <c16:uniqueId val="{00000000-E0FA-4FA8-958F-97EBA9AC65FA}"/>
            </c:ext>
          </c:extLst>
        </c:ser>
        <c:ser>
          <c:idx val="1"/>
          <c:order val="1"/>
          <c:tx>
            <c:strRef>
              <c:f>PVTABLES!$C$20</c:f>
              <c:strCache>
                <c:ptCount val="1"/>
                <c:pt idx="0">
                  <c:v>Operating Profit Margin</c:v>
                </c:pt>
              </c:strCache>
            </c:strRef>
          </c:tx>
          <c:spPr>
            <a:solidFill>
              <a:srgbClr val="0070C0"/>
            </a:solidFill>
            <a:ln>
              <a:noFill/>
            </a:ln>
            <a:effectLst/>
          </c:spPr>
          <c:invertIfNegative val="0"/>
          <c:dPt>
            <c:idx val="0"/>
            <c:invertIfNegative val="0"/>
            <c:bubble3D val="0"/>
            <c:extLst>
              <c:ext xmlns:c16="http://schemas.microsoft.com/office/drawing/2014/chart" uri="{C3380CC4-5D6E-409C-BE32-E72D297353CC}">
                <c16:uniqueId val="{00000003-E0FA-4FA8-958F-97EBA9AC65FA}"/>
              </c:ext>
            </c:extLst>
          </c:dPt>
          <c:dPt>
            <c:idx val="4"/>
            <c:invertIfNegative val="0"/>
            <c:bubble3D val="0"/>
            <c:extLst>
              <c:ext xmlns:c16="http://schemas.microsoft.com/office/drawing/2014/chart" uri="{C3380CC4-5D6E-409C-BE32-E72D297353CC}">
                <c16:uniqueId val="{00000002-0773-438F-8EE0-68ED4779416A}"/>
              </c:ext>
            </c:extLst>
          </c:dPt>
          <c:cat>
            <c:strRef>
              <c:f>PVTABLES!$A$21</c:f>
              <c:strCache>
                <c:ptCount val="1"/>
                <c:pt idx="0">
                  <c:v>(blank)</c:v>
                </c:pt>
              </c:strCache>
            </c:strRef>
          </c:cat>
          <c:val>
            <c:numRef>
              <c:f>PVTABLES!$C$21</c:f>
              <c:numCache>
                <c:formatCode>General</c:formatCode>
                <c:ptCount val="1"/>
              </c:numCache>
            </c:numRef>
          </c:val>
          <c:extLst>
            <c:ext xmlns:c16="http://schemas.microsoft.com/office/drawing/2014/chart" uri="{C3380CC4-5D6E-409C-BE32-E72D297353CC}">
              <c16:uniqueId val="{00000001-E0FA-4FA8-958F-97EBA9AC65FA}"/>
            </c:ext>
          </c:extLst>
        </c:ser>
        <c:ser>
          <c:idx val="2"/>
          <c:order val="2"/>
          <c:tx>
            <c:strRef>
              <c:f>PVTABLES!$D$20</c:f>
              <c:strCache>
                <c:ptCount val="1"/>
                <c:pt idx="0">
                  <c:v>Sum of EBITDA_dsh</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5-3EBA-4139-96FA-B9217254359C}"/>
              </c:ext>
            </c:extLst>
          </c:dPt>
          <c:dPt>
            <c:idx val="1"/>
            <c:invertIfNegative val="0"/>
            <c:bubble3D val="0"/>
            <c:extLst>
              <c:ext xmlns:c16="http://schemas.microsoft.com/office/drawing/2014/chart" uri="{C3380CC4-5D6E-409C-BE32-E72D297353CC}">
                <c16:uniqueId val="{00000004-3EBA-4139-96FA-B9217254359C}"/>
              </c:ext>
            </c:extLst>
          </c:dPt>
          <c:dPt>
            <c:idx val="2"/>
            <c:invertIfNegative val="0"/>
            <c:bubble3D val="0"/>
            <c:extLst>
              <c:ext xmlns:c16="http://schemas.microsoft.com/office/drawing/2014/chart" uri="{C3380CC4-5D6E-409C-BE32-E72D297353CC}">
                <c16:uniqueId val="{00000006-3EBA-4139-96FA-B9217254359C}"/>
              </c:ext>
            </c:extLst>
          </c:dPt>
          <c:dPt>
            <c:idx val="3"/>
            <c:invertIfNegative val="0"/>
            <c:bubble3D val="0"/>
            <c:extLst>
              <c:ext xmlns:c16="http://schemas.microsoft.com/office/drawing/2014/chart" uri="{C3380CC4-5D6E-409C-BE32-E72D297353CC}">
                <c16:uniqueId val="{00000007-3EBA-4139-96FA-B9217254359C}"/>
              </c:ext>
            </c:extLst>
          </c:dPt>
          <c:dPt>
            <c:idx val="4"/>
            <c:invertIfNegative val="0"/>
            <c:bubble3D val="0"/>
            <c:extLst>
              <c:ext xmlns:c16="http://schemas.microsoft.com/office/drawing/2014/chart" uri="{C3380CC4-5D6E-409C-BE32-E72D297353CC}">
                <c16:uniqueId val="{00000008-3EBA-4139-96FA-B9217254359C}"/>
              </c:ext>
            </c:extLst>
          </c:dPt>
          <c:cat>
            <c:strRef>
              <c:f>PVTABLES!$A$21</c:f>
              <c:strCache>
                <c:ptCount val="1"/>
                <c:pt idx="0">
                  <c:v>(blank)</c:v>
                </c:pt>
              </c:strCache>
            </c:strRef>
          </c:cat>
          <c:val>
            <c:numRef>
              <c:f>PVTABLES!$D$21</c:f>
              <c:numCache>
                <c:formatCode>General</c:formatCode>
                <c:ptCount val="1"/>
              </c:numCache>
            </c:numRef>
          </c:val>
          <c:extLst>
            <c:ext xmlns:c16="http://schemas.microsoft.com/office/drawing/2014/chart" uri="{C3380CC4-5D6E-409C-BE32-E72D297353CC}">
              <c16:uniqueId val="{00000003-3EBA-4139-96FA-B9217254359C}"/>
            </c:ext>
          </c:extLst>
        </c:ser>
        <c:dLbls>
          <c:showLegendKey val="0"/>
          <c:showVal val="0"/>
          <c:showCatName val="0"/>
          <c:showSerName val="0"/>
          <c:showPercent val="0"/>
          <c:showBubbleSize val="0"/>
        </c:dLbls>
        <c:gapWidth val="219"/>
        <c:axId val="313734431"/>
        <c:axId val="313733471"/>
      </c:barChart>
      <c:catAx>
        <c:axId val="31373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313733471"/>
        <c:crosses val="autoZero"/>
        <c:auto val="1"/>
        <c:lblAlgn val="ctr"/>
        <c:lblOffset val="100"/>
        <c:noMultiLvlLbl val="0"/>
      </c:catAx>
      <c:valAx>
        <c:axId val="313733471"/>
        <c:scaling>
          <c:orientation val="minMax"/>
        </c:scaling>
        <c:delete val="0"/>
        <c:axPos val="l"/>
        <c:majorGridlines>
          <c:spPr>
            <a:ln w="9525" cap="flat" cmpd="sng" algn="ctr">
              <a:solidFill>
                <a:schemeClr val="tx1">
                  <a:lumMod val="65000"/>
                  <a:lumOff val="3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31373443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ES" sz="1400" b="1">
                <a:solidFill>
                  <a:schemeClr val="bg1"/>
                </a:solidFill>
              </a:rPr>
              <a:t>FINANCIAL</a:t>
            </a:r>
            <a:r>
              <a:rPr lang="es-ES" sz="1400" b="1" baseline="0">
                <a:solidFill>
                  <a:schemeClr val="bg1"/>
                </a:solidFill>
              </a:rPr>
              <a:t> HEALTH (Historical)</a:t>
            </a:r>
            <a:endParaRPr lang="es-ES" sz="1400"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ES"/>
        </a:p>
      </c:txPr>
    </c:title>
    <c:autoTitleDeleted val="0"/>
    <c:plotArea>
      <c:layout>
        <c:manualLayout>
          <c:layoutTarget val="inner"/>
          <c:xMode val="edge"/>
          <c:yMode val="edge"/>
          <c:x val="2.7551373621368586E-2"/>
          <c:y val="0.56762217195786557"/>
          <c:w val="0.93938849630972698"/>
          <c:h val="5.9220982793817427E-2"/>
        </c:manualLayout>
      </c:layout>
      <c:lineChart>
        <c:grouping val="percentStacked"/>
        <c:varyColors val="0"/>
        <c:ser>
          <c:idx val="1"/>
          <c:order val="0"/>
          <c:spPr>
            <a:ln w="28575" cap="rnd">
              <a:solidFill>
                <a:schemeClr val="accent3">
                  <a:lumMod val="75000"/>
                  <a:alpha val="98000"/>
                </a:schemeClr>
              </a:solidFill>
              <a:round/>
            </a:ln>
            <a:effectLst/>
          </c:spPr>
          <c:marker>
            <c:symbol val="circle"/>
            <c:size val="5"/>
            <c:spPr>
              <a:solidFill>
                <a:schemeClr val="accent2"/>
              </a:solidFill>
              <a:ln w="9525">
                <a:noFill/>
              </a:ln>
              <a:effectLst/>
            </c:spPr>
          </c:marker>
          <c:dPt>
            <c:idx val="0"/>
            <c:marker>
              <c:symbol val="circle"/>
              <c:size val="8"/>
              <c:spPr>
                <a:solidFill>
                  <a:srgbClr val="00E676"/>
                </a:solidFill>
                <a:ln w="9525">
                  <a:noFill/>
                </a:ln>
                <a:effectLst/>
              </c:spPr>
            </c:marker>
            <c:bubble3D val="0"/>
            <c:extLst>
              <c:ext xmlns:c16="http://schemas.microsoft.com/office/drawing/2014/chart" uri="{C3380CC4-5D6E-409C-BE32-E72D297353CC}">
                <c16:uniqueId val="{00000000-CA27-4CD0-A14A-2E59DE5602D7}"/>
              </c:ext>
            </c:extLst>
          </c:dPt>
          <c:dPt>
            <c:idx val="1"/>
            <c:marker>
              <c:symbol val="circle"/>
              <c:size val="8"/>
              <c:spPr>
                <a:solidFill>
                  <a:srgbClr val="00E676"/>
                </a:solidFill>
                <a:ln w="9525">
                  <a:noFill/>
                </a:ln>
                <a:effectLst/>
              </c:spPr>
            </c:marker>
            <c:bubble3D val="0"/>
            <c:extLst>
              <c:ext xmlns:c16="http://schemas.microsoft.com/office/drawing/2014/chart" uri="{C3380CC4-5D6E-409C-BE32-E72D297353CC}">
                <c16:uniqueId val="{00000001-CA27-4CD0-A14A-2E59DE5602D7}"/>
              </c:ext>
            </c:extLst>
          </c:dPt>
          <c:dPt>
            <c:idx val="2"/>
            <c:marker>
              <c:symbol val="circle"/>
              <c:size val="8"/>
              <c:spPr>
                <a:solidFill>
                  <a:srgbClr val="00E676"/>
                </a:solidFill>
                <a:ln w="9525">
                  <a:noFill/>
                </a:ln>
                <a:effectLst/>
              </c:spPr>
            </c:marker>
            <c:bubble3D val="0"/>
            <c:extLst>
              <c:ext xmlns:c16="http://schemas.microsoft.com/office/drawing/2014/chart" uri="{C3380CC4-5D6E-409C-BE32-E72D297353CC}">
                <c16:uniqueId val="{00000002-CA27-4CD0-A14A-2E59DE5602D7}"/>
              </c:ext>
            </c:extLst>
          </c:dPt>
          <c:dPt>
            <c:idx val="3"/>
            <c:marker>
              <c:symbol val="circle"/>
              <c:size val="8"/>
              <c:spPr>
                <a:solidFill>
                  <a:srgbClr val="00E676"/>
                </a:solidFill>
                <a:ln w="9525">
                  <a:noFill/>
                </a:ln>
                <a:effectLst/>
              </c:spPr>
            </c:marker>
            <c:bubble3D val="0"/>
            <c:extLst>
              <c:ext xmlns:c16="http://schemas.microsoft.com/office/drawing/2014/chart" uri="{C3380CC4-5D6E-409C-BE32-E72D297353CC}">
                <c16:uniqueId val="{00000003-CA27-4CD0-A14A-2E59DE5602D7}"/>
              </c:ext>
            </c:extLst>
          </c:dPt>
          <c:dPt>
            <c:idx val="4"/>
            <c:marker>
              <c:symbol val="circle"/>
              <c:size val="8"/>
              <c:spPr>
                <a:solidFill>
                  <a:srgbClr val="00E676"/>
                </a:solidFill>
                <a:ln w="9525">
                  <a:noFill/>
                </a:ln>
                <a:effectLst/>
              </c:spPr>
            </c:marker>
            <c:bubble3D val="0"/>
            <c:extLst>
              <c:ext xmlns:c16="http://schemas.microsoft.com/office/drawing/2014/chart" uri="{C3380CC4-5D6E-409C-BE32-E72D297353CC}">
                <c16:uniqueId val="{00000004-CA27-4CD0-A14A-2E59DE5602D7}"/>
              </c:ext>
            </c:extLst>
          </c:dPt>
          <c:dLbls>
            <c:dLbl>
              <c:idx val="0"/>
              <c:tx>
                <c:rich>
                  <a:bodyPr/>
                  <a:lstStyle/>
                  <a:p>
                    <a:fld id="{EEC56ED9-FBAD-436D-BBDD-CC408F7ECAFF}" type="CELLRANGE">
                      <a:rPr lang="en-U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A27-4CD0-A14A-2E59DE5602D7}"/>
                </c:ext>
              </c:extLst>
            </c:dLbl>
            <c:dLbl>
              <c:idx val="1"/>
              <c:tx>
                <c:rich>
                  <a:bodyPr/>
                  <a:lstStyle/>
                  <a:p>
                    <a:fld id="{E32AA3E5-90C7-478E-8B47-D805EC28F1CC}"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A27-4CD0-A14A-2E59DE5602D7}"/>
                </c:ext>
              </c:extLst>
            </c:dLbl>
            <c:dLbl>
              <c:idx val="2"/>
              <c:tx>
                <c:rich>
                  <a:bodyPr/>
                  <a:lstStyle/>
                  <a:p>
                    <a:fld id="{CB9BA110-50FF-4BD8-B800-5CF510FD3B07}"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A27-4CD0-A14A-2E59DE5602D7}"/>
                </c:ext>
              </c:extLst>
            </c:dLbl>
            <c:dLbl>
              <c:idx val="3"/>
              <c:tx>
                <c:rich>
                  <a:bodyPr/>
                  <a:lstStyle/>
                  <a:p>
                    <a:fld id="{E9F2C0FB-3EAC-4F8A-A899-78FBDB0B3841}"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A27-4CD0-A14A-2E59DE5602D7}"/>
                </c:ext>
              </c:extLst>
            </c:dLbl>
            <c:dLbl>
              <c:idx val="4"/>
              <c:tx>
                <c:rich>
                  <a:bodyPr/>
                  <a:lstStyle/>
                  <a:p>
                    <a:fld id="{BB563425-5838-4896-B98C-CB12ECA9CECB}"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A27-4CD0-A14A-2E59DE5602D7}"/>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s-E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PVTABLES!$D$52:$D$56</c:f>
              <c:strCache>
                <c:ptCount val="5"/>
                <c:pt idx="0">
                  <c:v>(blank)</c:v>
                </c:pt>
                <c:pt idx="1">
                  <c:v>0</c:v>
                </c:pt>
                <c:pt idx="2">
                  <c:v>0</c:v>
                </c:pt>
                <c:pt idx="3">
                  <c:v>0</c:v>
                </c:pt>
                <c:pt idx="4">
                  <c:v>0</c:v>
                </c:pt>
              </c:strCache>
            </c:strRef>
          </c:cat>
          <c:val>
            <c:numRef>
              <c:f>PVTABLES!$E$52:$E$56</c:f>
              <c:numCache>
                <c:formatCode>General</c:formatCode>
                <c:ptCount val="5"/>
                <c:pt idx="0">
                  <c:v>0</c:v>
                </c:pt>
                <c:pt idx="1">
                  <c:v>0</c:v>
                </c:pt>
                <c:pt idx="2">
                  <c:v>0</c:v>
                </c:pt>
                <c:pt idx="3">
                  <c:v>0</c:v>
                </c:pt>
                <c:pt idx="4">
                  <c:v>0</c:v>
                </c:pt>
              </c:numCache>
            </c:numRef>
          </c:val>
          <c:smooth val="0"/>
          <c:extLst>
            <c:ext xmlns:c15="http://schemas.microsoft.com/office/drawing/2012/chart" uri="{02D57815-91ED-43cb-92C2-25804820EDAC}">
              <c15:datalabelsRange>
                <c15:f>PVTABLES!$F$52:$F$56</c15:f>
                <c15:dlblRangeCache>
                  <c:ptCount val="5"/>
                  <c:pt idx="0">
                    <c:v>MEDIUM</c:v>
                  </c:pt>
                  <c:pt idx="1">
                    <c:v>#REF!</c:v>
                  </c:pt>
                  <c:pt idx="2">
                    <c:v>#REF!</c:v>
                  </c:pt>
                  <c:pt idx="3">
                    <c:v>#REF!</c:v>
                  </c:pt>
                  <c:pt idx="4">
                    <c:v>#REF!</c:v>
                  </c:pt>
                </c15:dlblRangeCache>
              </c15:datalabelsRange>
            </c:ext>
            <c:ext xmlns:c16="http://schemas.microsoft.com/office/drawing/2014/chart" uri="{C3380CC4-5D6E-409C-BE32-E72D297353CC}">
              <c16:uniqueId val="{00000005-CA27-4CD0-A14A-2E59DE5602D7}"/>
            </c:ext>
          </c:extLst>
        </c:ser>
        <c:dLbls>
          <c:dLblPos val="t"/>
          <c:showLegendKey val="0"/>
          <c:showVal val="1"/>
          <c:showCatName val="0"/>
          <c:showSerName val="0"/>
          <c:showPercent val="0"/>
          <c:showBubbleSize val="0"/>
        </c:dLbls>
        <c:marker val="1"/>
        <c:smooth val="0"/>
        <c:axId val="298248943"/>
        <c:axId val="298252783"/>
      </c:lineChart>
      <c:catAx>
        <c:axId val="298248943"/>
        <c:scaling>
          <c:orientation val="minMax"/>
        </c:scaling>
        <c:delete val="0"/>
        <c:axPos val="b"/>
        <c:numFmt formatCode="General"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ES"/>
          </a:p>
        </c:txPr>
        <c:crossAx val="298252783"/>
        <c:crosses val="autoZero"/>
        <c:auto val="1"/>
        <c:lblAlgn val="ctr"/>
        <c:lblOffset val="100"/>
        <c:noMultiLvlLbl val="0"/>
      </c:catAx>
      <c:valAx>
        <c:axId val="298252783"/>
        <c:scaling>
          <c:orientation val="minMax"/>
        </c:scaling>
        <c:delete val="1"/>
        <c:axPos val="l"/>
        <c:numFmt formatCode="0%" sourceLinked="1"/>
        <c:majorTickMark val="out"/>
        <c:minorTickMark val="none"/>
        <c:tickLblPos val="nextTo"/>
        <c:crossAx val="29824894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chart" Target="../charts/chart7.xml"/><Relationship Id="rId7" Type="http://schemas.openxmlformats.org/officeDocument/2006/relationships/image" Target="../media/image4.svg"/><Relationship Id="rId12" Type="http://schemas.openxmlformats.org/officeDocument/2006/relationships/chart" Target="../charts/chart8.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oneCellAnchor>
    <xdr:from>
      <xdr:col>2</xdr:col>
      <xdr:colOff>140390</xdr:colOff>
      <xdr:row>1</xdr:row>
      <xdr:rowOff>139562</xdr:rowOff>
    </xdr:from>
    <xdr:ext cx="1828800" cy="2667000"/>
    <mc:AlternateContent xmlns:mc="http://schemas.openxmlformats.org/markup-compatibility/2006" xmlns:a14="http://schemas.microsoft.com/office/drawing/2010/main">
      <mc:Choice Requires="a14">
        <xdr:graphicFrame macro="">
          <xdr:nvGraphicFramePr>
            <xdr:cNvPr id="2" name="Ticker">
              <a:extLst>
                <a:ext uri="{FF2B5EF4-FFF2-40B4-BE49-F238E27FC236}">
                  <a16:creationId xmlns:a16="http://schemas.microsoft.com/office/drawing/2014/main" id="{5D945062-2882-6A88-E7C2-EB2563DE898A}"/>
                </a:ext>
              </a:extLst>
            </xdr:cNvPr>
            <xdr:cNvGraphicFramePr/>
          </xdr:nvGraphicFramePr>
          <xdr:xfrm>
            <a:off x="0" y="0"/>
            <a:ext cx="0" cy="0"/>
          </xdr:xfrm>
          <a:graphic>
            <a:graphicData uri="http://schemas.microsoft.com/office/drawing/2010/slicer">
              <sle:slicer xmlns:sle="http://schemas.microsoft.com/office/drawing/2010/slicer" name="Ticker"/>
            </a:graphicData>
          </a:graphic>
        </xdr:graphicFrame>
      </mc:Choice>
      <mc:Fallback xmlns="">
        <xdr:sp macro="" textlink="">
          <xdr:nvSpPr>
            <xdr:cNvPr id="0" name=""/>
            <xdr:cNvSpPr>
              <a:spLocks noTextEdit="1"/>
            </xdr:cNvSpPr>
          </xdr:nvSpPr>
          <xdr:spPr>
            <a:xfrm>
              <a:off x="3544542" y="330062"/>
              <a:ext cx="1828800" cy="26670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4</xdr:col>
      <xdr:colOff>476250</xdr:colOff>
      <xdr:row>22</xdr:row>
      <xdr:rowOff>103947</xdr:rowOff>
    </xdr:from>
    <xdr:to>
      <xdr:col>7</xdr:col>
      <xdr:colOff>266699</xdr:colOff>
      <xdr:row>33</xdr:row>
      <xdr:rowOff>51558</xdr:rowOff>
    </xdr:to>
    <xdr:graphicFrame macro="">
      <xdr:nvGraphicFramePr>
        <xdr:cNvPr id="4" name="Chart 3">
          <a:extLst>
            <a:ext uri="{FF2B5EF4-FFF2-40B4-BE49-F238E27FC236}">
              <a16:creationId xmlns:a16="http://schemas.microsoft.com/office/drawing/2014/main" id="{FB0A12D9-9C9A-7AA6-A38D-4D4B1B47D4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456374</xdr:colOff>
      <xdr:row>11</xdr:row>
      <xdr:rowOff>114712</xdr:rowOff>
    </xdr:from>
    <xdr:to>
      <xdr:col>8</xdr:col>
      <xdr:colOff>110575</xdr:colOff>
      <xdr:row>22</xdr:row>
      <xdr:rowOff>90899</xdr:rowOff>
    </xdr:to>
    <xdr:graphicFrame macro="">
      <xdr:nvGraphicFramePr>
        <xdr:cNvPr id="5" name="Chart 4">
          <a:extLst>
            <a:ext uri="{FF2B5EF4-FFF2-40B4-BE49-F238E27FC236}">
              <a16:creationId xmlns:a16="http://schemas.microsoft.com/office/drawing/2014/main" id="{AB430541-5FC5-A5FE-F536-D26216AF83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1131404</xdr:colOff>
      <xdr:row>1</xdr:row>
      <xdr:rowOff>84069</xdr:rowOff>
    </xdr:from>
    <xdr:to>
      <xdr:col>6</xdr:col>
      <xdr:colOff>793888</xdr:colOff>
      <xdr:row>12</xdr:row>
      <xdr:rowOff>26919</xdr:rowOff>
    </xdr:to>
    <xdr:graphicFrame macro="">
      <xdr:nvGraphicFramePr>
        <xdr:cNvPr id="9" name="Chart 8">
          <a:extLst>
            <a:ext uri="{FF2B5EF4-FFF2-40B4-BE49-F238E27FC236}">
              <a16:creationId xmlns:a16="http://schemas.microsoft.com/office/drawing/2014/main" id="{E817C78D-ED09-48FD-BEF6-543DBD96E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530088</xdr:colOff>
      <xdr:row>39</xdr:row>
      <xdr:rowOff>173314</xdr:rowOff>
    </xdr:from>
    <xdr:to>
      <xdr:col>7</xdr:col>
      <xdr:colOff>365886</xdr:colOff>
      <xdr:row>49</xdr:row>
      <xdr:rowOff>173935</xdr:rowOff>
    </xdr:to>
    <xdr:graphicFrame macro="">
      <xdr:nvGraphicFramePr>
        <xdr:cNvPr id="13" name="Chart 12">
          <a:extLst>
            <a:ext uri="{FF2B5EF4-FFF2-40B4-BE49-F238E27FC236}">
              <a16:creationId xmlns:a16="http://schemas.microsoft.com/office/drawing/2014/main" id="{8FDCE5BE-303B-F161-28C5-705A53AC0C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62028</xdr:colOff>
      <xdr:row>18</xdr:row>
      <xdr:rowOff>137532</xdr:rowOff>
    </xdr:from>
    <xdr:to>
      <xdr:col>1</xdr:col>
      <xdr:colOff>738303</xdr:colOff>
      <xdr:row>24</xdr:row>
      <xdr:rowOff>156582</xdr:rowOff>
    </xdr:to>
    <xdr:sp macro="[0]!ModBackToSearch" textlink="">
      <xdr:nvSpPr>
        <xdr:cNvPr id="8" name="Rectangle: Rounded Corners 7">
          <a:extLst>
            <a:ext uri="{FF2B5EF4-FFF2-40B4-BE49-F238E27FC236}">
              <a16:creationId xmlns:a16="http://schemas.microsoft.com/office/drawing/2014/main" id="{A9E52868-774C-9731-D4AF-FBAC55720531}"/>
            </a:ext>
          </a:extLst>
        </xdr:cNvPr>
        <xdr:cNvSpPr/>
      </xdr:nvSpPr>
      <xdr:spPr>
        <a:xfrm>
          <a:off x="62028" y="3566532"/>
          <a:ext cx="1285875" cy="1162050"/>
        </a:xfrm>
        <a:prstGeom prst="roundRect">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3500000" scaled="1"/>
          <a:tileRect/>
        </a:gradFill>
        <a:ln w="635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439777</xdr:colOff>
      <xdr:row>19</xdr:row>
      <xdr:rowOff>43908</xdr:rowOff>
    </xdr:from>
    <xdr:to>
      <xdr:col>1</xdr:col>
      <xdr:colOff>335002</xdr:colOff>
      <xdr:row>21</xdr:row>
      <xdr:rowOff>62958</xdr:rowOff>
    </xdr:to>
    <xdr:sp macro="" textlink="">
      <xdr:nvSpPr>
        <xdr:cNvPr id="19" name="Oval 18">
          <a:extLst>
            <a:ext uri="{FF2B5EF4-FFF2-40B4-BE49-F238E27FC236}">
              <a16:creationId xmlns:a16="http://schemas.microsoft.com/office/drawing/2014/main" id="{026A92BA-4F8A-42C5-B437-D060023476AB}"/>
            </a:ext>
          </a:extLst>
        </xdr:cNvPr>
        <xdr:cNvSpPr/>
      </xdr:nvSpPr>
      <xdr:spPr>
        <a:xfrm>
          <a:off x="439777" y="3663408"/>
          <a:ext cx="504825" cy="400050"/>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38100</xdr:colOff>
      <xdr:row>0</xdr:row>
      <xdr:rowOff>133349</xdr:rowOff>
    </xdr:from>
    <xdr:to>
      <xdr:col>8</xdr:col>
      <xdr:colOff>189750</xdr:colOff>
      <xdr:row>5</xdr:row>
      <xdr:rowOff>181649</xdr:rowOff>
    </xdr:to>
    <xdr:sp macro="" textlink="$Q$3">
      <xdr:nvSpPr>
        <xdr:cNvPr id="35" name="Rectangle: Rounded Corners 34">
          <a:extLst>
            <a:ext uri="{FF2B5EF4-FFF2-40B4-BE49-F238E27FC236}">
              <a16:creationId xmlns:a16="http://schemas.microsoft.com/office/drawing/2014/main" id="{412489FF-DEE9-4747-B401-E1727076F4F5}"/>
            </a:ext>
          </a:extLst>
        </xdr:cNvPr>
        <xdr:cNvSpPr/>
      </xdr:nvSpPr>
      <xdr:spPr>
        <a:xfrm>
          <a:off x="3800475" y="133349"/>
          <a:ext cx="2123325"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D3BA9ED-BAE7-406E-9FD5-FEFCFDF175EE}"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2</xdr:col>
      <xdr:colOff>104774</xdr:colOff>
      <xdr:row>0</xdr:row>
      <xdr:rowOff>133349</xdr:rowOff>
    </xdr:from>
    <xdr:to>
      <xdr:col>5</xdr:col>
      <xdr:colOff>856499</xdr:colOff>
      <xdr:row>5</xdr:row>
      <xdr:rowOff>181649</xdr:rowOff>
    </xdr:to>
    <xdr:sp macro="" textlink="$Q$2">
      <xdr:nvSpPr>
        <xdr:cNvPr id="9" name="Rectangle: Rounded Corners 8">
          <a:extLst>
            <a:ext uri="{FF2B5EF4-FFF2-40B4-BE49-F238E27FC236}">
              <a16:creationId xmlns:a16="http://schemas.microsoft.com/office/drawing/2014/main" id="{BA8C53A1-9BDF-0D03-F40F-130B0040A356}"/>
            </a:ext>
          </a:extLst>
        </xdr:cNvPr>
        <xdr:cNvSpPr/>
      </xdr:nvSpPr>
      <xdr:spPr>
        <a:xfrm>
          <a:off x="1609724" y="133349"/>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DE4076C-C52A-4EF9-8CAA-7D852790D16D}"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5</xdr:col>
      <xdr:colOff>333375</xdr:colOff>
      <xdr:row>1</xdr:row>
      <xdr:rowOff>28575</xdr:rowOff>
    </xdr:from>
    <xdr:to>
      <xdr:col>5</xdr:col>
      <xdr:colOff>704850</xdr:colOff>
      <xdr:row>2</xdr:row>
      <xdr:rowOff>171450</xdr:rowOff>
    </xdr:to>
    <xdr:sp macro="" textlink="">
      <xdr:nvSpPr>
        <xdr:cNvPr id="32" name="Oval 31">
          <a:extLst>
            <a:ext uri="{FF2B5EF4-FFF2-40B4-BE49-F238E27FC236}">
              <a16:creationId xmlns:a16="http://schemas.microsoft.com/office/drawing/2014/main" id="{12AADD54-F5C7-E5A2-B4B4-F0AA2905C172}"/>
            </a:ext>
          </a:extLst>
        </xdr:cNvPr>
        <xdr:cNvSpPr/>
      </xdr:nvSpPr>
      <xdr:spPr>
        <a:xfrm>
          <a:off x="312420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209549</xdr:colOff>
      <xdr:row>6</xdr:row>
      <xdr:rowOff>161925</xdr:rowOff>
    </xdr:from>
    <xdr:to>
      <xdr:col>10</xdr:col>
      <xdr:colOff>152399</xdr:colOff>
      <xdr:row>19</xdr:row>
      <xdr:rowOff>142875</xdr:rowOff>
    </xdr:to>
    <xdr:graphicFrame macro="">
      <xdr:nvGraphicFramePr>
        <xdr:cNvPr id="2" name="Chart 1">
          <a:extLst>
            <a:ext uri="{FF2B5EF4-FFF2-40B4-BE49-F238E27FC236}">
              <a16:creationId xmlns:a16="http://schemas.microsoft.com/office/drawing/2014/main" id="{B7FB36B7-107A-49AF-B8CF-598405577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95248</xdr:colOff>
      <xdr:row>6</xdr:row>
      <xdr:rowOff>171450</xdr:rowOff>
    </xdr:from>
    <xdr:to>
      <xdr:col>7</xdr:col>
      <xdr:colOff>104774</xdr:colOff>
      <xdr:row>19</xdr:row>
      <xdr:rowOff>161925</xdr:rowOff>
    </xdr:to>
    <xdr:graphicFrame macro="">
      <xdr:nvGraphicFramePr>
        <xdr:cNvPr id="3" name="Chart 2">
          <a:extLst>
            <a:ext uri="{FF2B5EF4-FFF2-40B4-BE49-F238E27FC236}">
              <a16:creationId xmlns:a16="http://schemas.microsoft.com/office/drawing/2014/main" id="{61F09C67-D55D-4CFD-8551-0937760690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114300</xdr:colOff>
      <xdr:row>4</xdr:row>
      <xdr:rowOff>19048</xdr:rowOff>
    </xdr:from>
    <xdr:to>
      <xdr:col>1</xdr:col>
      <xdr:colOff>800100</xdr:colOff>
      <xdr:row>17</xdr:row>
      <xdr:rowOff>142875</xdr:rowOff>
    </xdr:to>
    <mc:AlternateContent xmlns:mc="http://schemas.openxmlformats.org/markup-compatibility/2006" xmlns:a14="http://schemas.microsoft.com/office/drawing/2010/main">
      <mc:Choice Requires="a14">
        <xdr:graphicFrame macro="">
          <xdr:nvGraphicFramePr>
            <xdr:cNvPr id="5" name="Ticker 1">
              <a:extLst>
                <a:ext uri="{FF2B5EF4-FFF2-40B4-BE49-F238E27FC236}">
                  <a16:creationId xmlns:a16="http://schemas.microsoft.com/office/drawing/2014/main" id="{445D8FCA-8A08-46CA-951E-EAFAB6476726}"/>
                </a:ext>
              </a:extLst>
            </xdr:cNvPr>
            <xdr:cNvGraphicFramePr/>
          </xdr:nvGraphicFramePr>
          <xdr:xfrm>
            <a:off x="0" y="0"/>
            <a:ext cx="0" cy="0"/>
          </xdr:xfrm>
          <a:graphic>
            <a:graphicData uri="http://schemas.microsoft.com/office/drawing/2010/slicer">
              <sle:slicer xmlns:sle="http://schemas.microsoft.com/office/drawing/2010/slicer" name="Ticker 1"/>
            </a:graphicData>
          </a:graphic>
        </xdr:graphicFrame>
      </mc:Choice>
      <mc:Fallback xmlns="">
        <xdr:sp macro="" textlink="">
          <xdr:nvSpPr>
            <xdr:cNvPr id="0" name=""/>
            <xdr:cNvSpPr>
              <a:spLocks noTextEdit="1"/>
            </xdr:cNvSpPr>
          </xdr:nvSpPr>
          <xdr:spPr>
            <a:xfrm>
              <a:off x="114300" y="781048"/>
              <a:ext cx="1295400" cy="3905251"/>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257175</xdr:colOff>
      <xdr:row>6</xdr:row>
      <xdr:rowOff>152400</xdr:rowOff>
    </xdr:from>
    <xdr:to>
      <xdr:col>14</xdr:col>
      <xdr:colOff>76200</xdr:colOff>
      <xdr:row>19</xdr:row>
      <xdr:rowOff>123825</xdr:rowOff>
    </xdr:to>
    <xdr:graphicFrame macro="">
      <xdr:nvGraphicFramePr>
        <xdr:cNvPr id="6" name="Chart 5">
          <a:extLst>
            <a:ext uri="{FF2B5EF4-FFF2-40B4-BE49-F238E27FC236}">
              <a16:creationId xmlns:a16="http://schemas.microsoft.com/office/drawing/2014/main" id="{1D6A1486-BE34-4AA0-B6AD-2F3AEA31D9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38099</xdr:colOff>
      <xdr:row>0</xdr:row>
      <xdr:rowOff>47626</xdr:rowOff>
    </xdr:from>
    <xdr:to>
      <xdr:col>2</xdr:col>
      <xdr:colOff>190500</xdr:colOff>
      <xdr:row>3</xdr:row>
      <xdr:rowOff>85725</xdr:rowOff>
    </xdr:to>
    <xdr:sp macro="" textlink="">
      <xdr:nvSpPr>
        <xdr:cNvPr id="13" name="TextBox 12">
          <a:extLst>
            <a:ext uri="{FF2B5EF4-FFF2-40B4-BE49-F238E27FC236}">
              <a16:creationId xmlns:a16="http://schemas.microsoft.com/office/drawing/2014/main" id="{1F5767DB-7614-C1D1-221D-72DB46CCE635}"/>
            </a:ext>
          </a:extLst>
        </xdr:cNvPr>
        <xdr:cNvSpPr txBox="1"/>
      </xdr:nvSpPr>
      <xdr:spPr>
        <a:xfrm>
          <a:off x="38099" y="47626"/>
          <a:ext cx="1657351" cy="609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solidFill>
                <a:schemeClr val="bg1"/>
              </a:solidFill>
            </a:rPr>
            <a:t>FINANCIAL  DATA </a:t>
          </a:r>
        </a:p>
        <a:p>
          <a:r>
            <a:rPr lang="es-ES" sz="1400" b="1">
              <a:solidFill>
                <a:schemeClr val="bg1"/>
              </a:solidFill>
            </a:rPr>
            <a:t> DASHBOARD</a:t>
          </a:r>
        </a:p>
      </xdr:txBody>
    </xdr:sp>
    <xdr:clientData/>
  </xdr:twoCellAnchor>
  <xdr:twoCellAnchor>
    <xdr:from>
      <xdr:col>0</xdr:col>
      <xdr:colOff>114300</xdr:colOff>
      <xdr:row>3</xdr:row>
      <xdr:rowOff>85725</xdr:rowOff>
    </xdr:from>
    <xdr:to>
      <xdr:col>1</xdr:col>
      <xdr:colOff>742950</xdr:colOff>
      <xdr:row>3</xdr:row>
      <xdr:rowOff>95250</xdr:rowOff>
    </xdr:to>
    <xdr:cxnSp macro="">
      <xdr:nvCxnSpPr>
        <xdr:cNvPr id="15" name="Straight Connector 14">
          <a:extLst>
            <a:ext uri="{FF2B5EF4-FFF2-40B4-BE49-F238E27FC236}">
              <a16:creationId xmlns:a16="http://schemas.microsoft.com/office/drawing/2014/main" id="{89F334B3-B570-64D4-7E2F-29F6EC531A9A}"/>
            </a:ext>
          </a:extLst>
        </xdr:cNvPr>
        <xdr:cNvCxnSpPr/>
      </xdr:nvCxnSpPr>
      <xdr:spPr>
        <a:xfrm>
          <a:off x="114300" y="657225"/>
          <a:ext cx="1238250" cy="9525"/>
        </a:xfrm>
        <a:prstGeom prst="line">
          <a:avLst/>
        </a:prstGeom>
        <a:ln>
          <a:solidFill>
            <a:schemeClr val="tx1">
              <a:lumMod val="50000"/>
              <a:lumOff val="50000"/>
            </a:schemeClr>
          </a:solidFill>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2</xdr:col>
      <xdr:colOff>133350</xdr:colOff>
      <xdr:row>1</xdr:row>
      <xdr:rowOff>38100</xdr:rowOff>
    </xdr:from>
    <xdr:to>
      <xdr:col>4</xdr:col>
      <xdr:colOff>409574</xdr:colOff>
      <xdr:row>2</xdr:row>
      <xdr:rowOff>95250</xdr:rowOff>
    </xdr:to>
    <xdr:sp macro="" textlink="">
      <xdr:nvSpPr>
        <xdr:cNvPr id="28" name="TextBox 27">
          <a:extLst>
            <a:ext uri="{FF2B5EF4-FFF2-40B4-BE49-F238E27FC236}">
              <a16:creationId xmlns:a16="http://schemas.microsoft.com/office/drawing/2014/main" id="{A6A918DD-6127-BE1C-BDA2-48474410896B}"/>
            </a:ext>
          </a:extLst>
        </xdr:cNvPr>
        <xdr:cNvSpPr txBox="1"/>
      </xdr:nvSpPr>
      <xdr:spPr>
        <a:xfrm>
          <a:off x="1638300" y="228600"/>
          <a:ext cx="761999"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chemeClr val="bg1"/>
              </a:solidFill>
            </a:rPr>
            <a:t>REVENUE</a:t>
          </a:r>
          <a:r>
            <a:rPr lang="es-ES" sz="1100" baseline="0">
              <a:solidFill>
                <a:schemeClr val="bg1"/>
              </a:solidFill>
            </a:rPr>
            <a:t> </a:t>
          </a:r>
          <a:endParaRPr lang="es-ES" sz="1100">
            <a:solidFill>
              <a:schemeClr val="bg1"/>
            </a:solidFill>
          </a:endParaRPr>
        </a:p>
      </xdr:txBody>
    </xdr:sp>
    <xdr:clientData/>
  </xdr:twoCellAnchor>
  <xdr:twoCellAnchor>
    <xdr:from>
      <xdr:col>4</xdr:col>
      <xdr:colOff>295276</xdr:colOff>
      <xdr:row>1</xdr:row>
      <xdr:rowOff>47623</xdr:rowOff>
    </xdr:from>
    <xdr:to>
      <xdr:col>5</xdr:col>
      <xdr:colOff>314325</xdr:colOff>
      <xdr:row>3</xdr:row>
      <xdr:rowOff>47624</xdr:rowOff>
    </xdr:to>
    <xdr:sp macro="" textlink="">
      <xdr:nvSpPr>
        <xdr:cNvPr id="29" name="TextBox 28">
          <a:extLst>
            <a:ext uri="{FF2B5EF4-FFF2-40B4-BE49-F238E27FC236}">
              <a16:creationId xmlns:a16="http://schemas.microsoft.com/office/drawing/2014/main" id="{593BC5AF-789F-153A-8735-29453E3A14FC}"/>
            </a:ext>
          </a:extLst>
        </xdr:cNvPr>
        <xdr:cNvSpPr txBox="1"/>
      </xdr:nvSpPr>
      <xdr:spPr>
        <a:xfrm>
          <a:off x="2286001" y="238123"/>
          <a:ext cx="819149" cy="381001"/>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900">
              <a:solidFill>
                <a:schemeClr val="tx1">
                  <a:lumMod val="50000"/>
                  <a:lumOff val="50000"/>
                </a:schemeClr>
              </a:solidFill>
            </a:rPr>
            <a:t>( Most</a:t>
          </a:r>
          <a:r>
            <a:rPr lang="es-ES" sz="900" baseline="0">
              <a:solidFill>
                <a:schemeClr val="tx1">
                  <a:lumMod val="50000"/>
                  <a:lumOff val="50000"/>
                </a:schemeClr>
              </a:solidFill>
            </a:rPr>
            <a:t> Recent Year)</a:t>
          </a:r>
          <a:endParaRPr lang="es-ES" sz="900">
            <a:solidFill>
              <a:schemeClr val="tx1">
                <a:lumMod val="50000"/>
                <a:lumOff val="50000"/>
              </a:schemeClr>
            </a:solidFill>
          </a:endParaRPr>
        </a:p>
      </xdr:txBody>
    </xdr:sp>
    <xdr:clientData/>
  </xdr:twoCellAnchor>
  <xdr:twoCellAnchor editAs="oneCell">
    <xdr:from>
      <xdr:col>5</xdr:col>
      <xdr:colOff>304799</xdr:colOff>
      <xdr:row>1</xdr:row>
      <xdr:rowOff>57149</xdr:rowOff>
    </xdr:from>
    <xdr:to>
      <xdr:col>5</xdr:col>
      <xdr:colOff>723900</xdr:colOff>
      <xdr:row>2</xdr:row>
      <xdr:rowOff>123824</xdr:rowOff>
    </xdr:to>
    <xdr:pic>
      <xdr:nvPicPr>
        <xdr:cNvPr id="31" name="Graphic 30" descr="Dollar with solid fill">
          <a:extLst>
            <a:ext uri="{FF2B5EF4-FFF2-40B4-BE49-F238E27FC236}">
              <a16:creationId xmlns:a16="http://schemas.microsoft.com/office/drawing/2014/main" id="{10EB51C1-620E-4FE0-1921-59F5A5AD67F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95624" y="247649"/>
          <a:ext cx="419101" cy="257175"/>
        </a:xfrm>
        <a:prstGeom prst="rect">
          <a:avLst/>
        </a:prstGeom>
      </xdr:spPr>
    </xdr:pic>
    <xdr:clientData/>
  </xdr:twoCellAnchor>
  <xdr:twoCellAnchor>
    <xdr:from>
      <xdr:col>6</xdr:col>
      <xdr:colOff>95250</xdr:colOff>
      <xdr:row>1</xdr:row>
      <xdr:rowOff>38100</xdr:rowOff>
    </xdr:from>
    <xdr:to>
      <xdr:col>7</xdr:col>
      <xdr:colOff>381000</xdr:colOff>
      <xdr:row>2</xdr:row>
      <xdr:rowOff>95250</xdr:rowOff>
    </xdr:to>
    <xdr:sp macro="" textlink="">
      <xdr:nvSpPr>
        <xdr:cNvPr id="37" name="TextBox 36">
          <a:extLst>
            <a:ext uri="{FF2B5EF4-FFF2-40B4-BE49-F238E27FC236}">
              <a16:creationId xmlns:a16="http://schemas.microsoft.com/office/drawing/2014/main" id="{FEC02062-1B5D-45E2-BB7D-7C3A026C2882}"/>
            </a:ext>
          </a:extLst>
        </xdr:cNvPr>
        <xdr:cNvSpPr txBox="1"/>
      </xdr:nvSpPr>
      <xdr:spPr>
        <a:xfrm>
          <a:off x="3857625" y="228600"/>
          <a:ext cx="933450"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solidFill>
                <a:schemeClr val="bg1"/>
              </a:solidFill>
            </a:rPr>
            <a:t>NET INCOME </a:t>
          </a:r>
          <a:endParaRPr lang="es-ES" sz="1100">
            <a:solidFill>
              <a:schemeClr val="bg1"/>
            </a:solidFill>
          </a:endParaRPr>
        </a:p>
      </xdr:txBody>
    </xdr:sp>
    <xdr:clientData/>
  </xdr:twoCellAnchor>
  <xdr:twoCellAnchor>
    <xdr:from>
      <xdr:col>7</xdr:col>
      <xdr:colOff>276227</xdr:colOff>
      <xdr:row>1</xdr:row>
      <xdr:rowOff>38098</xdr:rowOff>
    </xdr:from>
    <xdr:to>
      <xdr:col>7</xdr:col>
      <xdr:colOff>1104901</xdr:colOff>
      <xdr:row>3</xdr:row>
      <xdr:rowOff>38099</xdr:rowOff>
    </xdr:to>
    <xdr:sp macro="" textlink="">
      <xdr:nvSpPr>
        <xdr:cNvPr id="38" name="TextBox 37">
          <a:extLst>
            <a:ext uri="{FF2B5EF4-FFF2-40B4-BE49-F238E27FC236}">
              <a16:creationId xmlns:a16="http://schemas.microsoft.com/office/drawing/2014/main" id="{D9D391F7-90DE-4B0E-A793-B2390747122E}"/>
            </a:ext>
          </a:extLst>
        </xdr:cNvPr>
        <xdr:cNvSpPr txBox="1"/>
      </xdr:nvSpPr>
      <xdr:spPr>
        <a:xfrm>
          <a:off x="4686302" y="228598"/>
          <a:ext cx="828674" cy="381001"/>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900">
              <a:solidFill>
                <a:schemeClr val="tx1">
                  <a:lumMod val="50000"/>
                  <a:lumOff val="50000"/>
                </a:schemeClr>
              </a:solidFill>
            </a:rPr>
            <a:t>( Most</a:t>
          </a:r>
          <a:r>
            <a:rPr lang="es-ES" sz="900" baseline="0">
              <a:solidFill>
                <a:schemeClr val="tx1">
                  <a:lumMod val="50000"/>
                  <a:lumOff val="50000"/>
                </a:schemeClr>
              </a:solidFill>
            </a:rPr>
            <a:t> Recent Year)</a:t>
          </a:r>
          <a:endParaRPr lang="es-ES" sz="900">
            <a:solidFill>
              <a:schemeClr val="tx1">
                <a:lumMod val="50000"/>
                <a:lumOff val="50000"/>
              </a:schemeClr>
            </a:solidFill>
          </a:endParaRPr>
        </a:p>
      </xdr:txBody>
    </xdr:sp>
    <xdr:clientData/>
  </xdr:twoCellAnchor>
  <xdr:twoCellAnchor>
    <xdr:from>
      <xdr:col>7</xdr:col>
      <xdr:colOff>1076325</xdr:colOff>
      <xdr:row>1</xdr:row>
      <xdr:rowOff>38100</xdr:rowOff>
    </xdr:from>
    <xdr:to>
      <xdr:col>8</xdr:col>
      <xdr:colOff>123825</xdr:colOff>
      <xdr:row>2</xdr:row>
      <xdr:rowOff>180975</xdr:rowOff>
    </xdr:to>
    <xdr:sp macro="" textlink="">
      <xdr:nvSpPr>
        <xdr:cNvPr id="41" name="Oval 40">
          <a:extLst>
            <a:ext uri="{FF2B5EF4-FFF2-40B4-BE49-F238E27FC236}">
              <a16:creationId xmlns:a16="http://schemas.microsoft.com/office/drawing/2014/main" id="{2EEE6703-65F3-4A7F-A5F8-97C7A4B8FA83}"/>
            </a:ext>
          </a:extLst>
        </xdr:cNvPr>
        <xdr:cNvSpPr/>
      </xdr:nvSpPr>
      <xdr:spPr>
        <a:xfrm>
          <a:off x="5486400" y="228600"/>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7</xdr:col>
      <xdr:colOff>1104899</xdr:colOff>
      <xdr:row>1</xdr:row>
      <xdr:rowOff>57150</xdr:rowOff>
    </xdr:from>
    <xdr:to>
      <xdr:col>8</xdr:col>
      <xdr:colOff>66673</xdr:colOff>
      <xdr:row>2</xdr:row>
      <xdr:rowOff>152400</xdr:rowOff>
    </xdr:to>
    <xdr:pic>
      <xdr:nvPicPr>
        <xdr:cNvPr id="40" name="Graphic 39" descr="Bar chart with solid fill">
          <a:extLst>
            <a:ext uri="{FF2B5EF4-FFF2-40B4-BE49-F238E27FC236}">
              <a16:creationId xmlns:a16="http://schemas.microsoft.com/office/drawing/2014/main" id="{9CA89620-7773-49DC-7E9A-04B0DC85252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514974" y="247650"/>
          <a:ext cx="285750" cy="285750"/>
        </a:xfrm>
        <a:prstGeom prst="rect">
          <a:avLst/>
        </a:prstGeom>
      </xdr:spPr>
    </xdr:pic>
    <xdr:clientData/>
  </xdr:twoCellAnchor>
  <xdr:twoCellAnchor>
    <xdr:from>
      <xdr:col>8</xdr:col>
      <xdr:colOff>295275</xdr:colOff>
      <xdr:row>0</xdr:row>
      <xdr:rowOff>142874</xdr:rowOff>
    </xdr:from>
    <xdr:to>
      <xdr:col>10</xdr:col>
      <xdr:colOff>408825</xdr:colOff>
      <xdr:row>6</xdr:row>
      <xdr:rowOff>674</xdr:rowOff>
    </xdr:to>
    <xdr:sp macro="" textlink="$Q$4">
      <xdr:nvSpPr>
        <xdr:cNvPr id="43" name="Rectangle: Rounded Corners 42">
          <a:extLst>
            <a:ext uri="{FF2B5EF4-FFF2-40B4-BE49-F238E27FC236}">
              <a16:creationId xmlns:a16="http://schemas.microsoft.com/office/drawing/2014/main" id="{16934B9C-8E46-43AC-9BDB-141C58205CCC}"/>
            </a:ext>
          </a:extLst>
        </xdr:cNvPr>
        <xdr:cNvSpPr/>
      </xdr:nvSpPr>
      <xdr:spPr>
        <a:xfrm>
          <a:off x="6029325"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D8C4D5D-3876-4373-800B-39B2EA8A08C9}"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9</xdr:col>
      <xdr:colOff>857250</xdr:colOff>
      <xdr:row>1</xdr:row>
      <xdr:rowOff>28575</xdr:rowOff>
    </xdr:from>
    <xdr:to>
      <xdr:col>10</xdr:col>
      <xdr:colOff>257175</xdr:colOff>
      <xdr:row>2</xdr:row>
      <xdr:rowOff>171450</xdr:rowOff>
    </xdr:to>
    <xdr:sp macro="" textlink="">
      <xdr:nvSpPr>
        <xdr:cNvPr id="44" name="Oval 43">
          <a:extLst>
            <a:ext uri="{FF2B5EF4-FFF2-40B4-BE49-F238E27FC236}">
              <a16:creationId xmlns:a16="http://schemas.microsoft.com/office/drawing/2014/main" id="{078B5D61-324E-41D9-9810-60DCEF3643DB}"/>
            </a:ext>
          </a:extLst>
        </xdr:cNvPr>
        <xdr:cNvSpPr/>
      </xdr:nvSpPr>
      <xdr:spPr>
        <a:xfrm>
          <a:off x="754380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323851</xdr:colOff>
      <xdr:row>1</xdr:row>
      <xdr:rowOff>47625</xdr:rowOff>
    </xdr:from>
    <xdr:to>
      <xdr:col>9</xdr:col>
      <xdr:colOff>142875</xdr:colOff>
      <xdr:row>2</xdr:row>
      <xdr:rowOff>104775</xdr:rowOff>
    </xdr:to>
    <xdr:sp macro="" textlink="">
      <xdr:nvSpPr>
        <xdr:cNvPr id="45" name="TextBox 44">
          <a:extLst>
            <a:ext uri="{FF2B5EF4-FFF2-40B4-BE49-F238E27FC236}">
              <a16:creationId xmlns:a16="http://schemas.microsoft.com/office/drawing/2014/main" id="{6850AA00-CC67-490A-B073-29E6942AD9AA}"/>
            </a:ext>
          </a:extLst>
        </xdr:cNvPr>
        <xdr:cNvSpPr txBox="1"/>
      </xdr:nvSpPr>
      <xdr:spPr>
        <a:xfrm>
          <a:off x="6057901" y="238125"/>
          <a:ext cx="771524"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baseline="0">
              <a:solidFill>
                <a:schemeClr val="bg1"/>
              </a:solidFill>
            </a:rPr>
            <a:t>EBITDA</a:t>
          </a:r>
          <a:r>
            <a:rPr lang="es-ES" sz="1100" baseline="0">
              <a:solidFill>
                <a:schemeClr val="bg1"/>
              </a:solidFill>
            </a:rPr>
            <a:t> </a:t>
          </a:r>
          <a:endParaRPr lang="es-ES" sz="1100">
            <a:solidFill>
              <a:schemeClr val="bg1"/>
            </a:solidFill>
          </a:endParaRPr>
        </a:p>
      </xdr:txBody>
    </xdr:sp>
    <xdr:clientData/>
  </xdr:twoCellAnchor>
  <xdr:twoCellAnchor>
    <xdr:from>
      <xdr:col>8</xdr:col>
      <xdr:colOff>885826</xdr:colOff>
      <xdr:row>1</xdr:row>
      <xdr:rowOff>28573</xdr:rowOff>
    </xdr:from>
    <xdr:to>
      <xdr:col>9</xdr:col>
      <xdr:colOff>781050</xdr:colOff>
      <xdr:row>3</xdr:row>
      <xdr:rowOff>85725</xdr:rowOff>
    </xdr:to>
    <xdr:sp macro="" textlink="">
      <xdr:nvSpPr>
        <xdr:cNvPr id="46" name="TextBox 45">
          <a:extLst>
            <a:ext uri="{FF2B5EF4-FFF2-40B4-BE49-F238E27FC236}">
              <a16:creationId xmlns:a16="http://schemas.microsoft.com/office/drawing/2014/main" id="{25AE7E12-A3EF-41A9-AC31-D5D5AB4D3084}"/>
            </a:ext>
          </a:extLst>
        </xdr:cNvPr>
        <xdr:cNvSpPr txBox="1"/>
      </xdr:nvSpPr>
      <xdr:spPr>
        <a:xfrm>
          <a:off x="6619876" y="219073"/>
          <a:ext cx="847724" cy="438152"/>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a:solidFill>
                <a:schemeClr val="tx1">
                  <a:lumMod val="50000"/>
                  <a:lumOff val="50000"/>
                </a:schemeClr>
              </a:solidFill>
            </a:rPr>
            <a:t>( Most</a:t>
          </a:r>
          <a:r>
            <a:rPr lang="es-ES" sz="1000" baseline="0">
              <a:solidFill>
                <a:schemeClr val="tx1">
                  <a:lumMod val="50000"/>
                  <a:lumOff val="50000"/>
                </a:schemeClr>
              </a:solidFill>
            </a:rPr>
            <a:t> Recent Year)</a:t>
          </a:r>
          <a:endParaRPr lang="es-ES" sz="1000">
            <a:solidFill>
              <a:schemeClr val="tx1">
                <a:lumMod val="50000"/>
                <a:lumOff val="50000"/>
              </a:schemeClr>
            </a:solidFill>
          </a:endParaRPr>
        </a:p>
      </xdr:txBody>
    </xdr:sp>
    <xdr:clientData/>
  </xdr:twoCellAnchor>
  <xdr:twoCellAnchor editAs="oneCell">
    <xdr:from>
      <xdr:col>9</xdr:col>
      <xdr:colOff>895348</xdr:colOff>
      <xdr:row>1</xdr:row>
      <xdr:rowOff>38100</xdr:rowOff>
    </xdr:from>
    <xdr:to>
      <xdr:col>10</xdr:col>
      <xdr:colOff>208198</xdr:colOff>
      <xdr:row>2</xdr:row>
      <xdr:rowOff>172627</xdr:rowOff>
    </xdr:to>
    <xdr:pic>
      <xdr:nvPicPr>
        <xdr:cNvPr id="48" name="Graphic 47" descr="Bar graph with upward trend with solid fill">
          <a:extLst>
            <a:ext uri="{FF2B5EF4-FFF2-40B4-BE49-F238E27FC236}">
              <a16:creationId xmlns:a16="http://schemas.microsoft.com/office/drawing/2014/main" id="{DC8F6901-6866-BE43-E2DA-AECCF6681BA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581898" y="228600"/>
          <a:ext cx="284400" cy="325027"/>
        </a:xfrm>
        <a:prstGeom prst="rect">
          <a:avLst/>
        </a:prstGeom>
      </xdr:spPr>
    </xdr:pic>
    <xdr:clientData/>
  </xdr:twoCellAnchor>
  <xdr:twoCellAnchor>
    <xdr:from>
      <xdr:col>10</xdr:col>
      <xdr:colOff>647700</xdr:colOff>
      <xdr:row>0</xdr:row>
      <xdr:rowOff>142874</xdr:rowOff>
    </xdr:from>
    <xdr:to>
      <xdr:col>11</xdr:col>
      <xdr:colOff>970800</xdr:colOff>
      <xdr:row>6</xdr:row>
      <xdr:rowOff>674</xdr:rowOff>
    </xdr:to>
    <xdr:sp macro="" textlink="$Q$5">
      <xdr:nvSpPr>
        <xdr:cNvPr id="53" name="Rectangle: Rounded Corners 52">
          <a:extLst>
            <a:ext uri="{FF2B5EF4-FFF2-40B4-BE49-F238E27FC236}">
              <a16:creationId xmlns:a16="http://schemas.microsoft.com/office/drawing/2014/main" id="{6997E10E-6FCB-4B9E-A383-D32FCAE68C50}"/>
            </a:ext>
          </a:extLst>
        </xdr:cNvPr>
        <xdr:cNvSpPr/>
      </xdr:nvSpPr>
      <xdr:spPr>
        <a:xfrm>
          <a:off x="8305800"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EFF09B8-EAA9-4001-A45B-295F3EEB1B46}"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11</xdr:col>
      <xdr:colOff>476250</xdr:colOff>
      <xdr:row>1</xdr:row>
      <xdr:rowOff>28575</xdr:rowOff>
    </xdr:from>
    <xdr:to>
      <xdr:col>11</xdr:col>
      <xdr:colOff>847725</xdr:colOff>
      <xdr:row>2</xdr:row>
      <xdr:rowOff>171450</xdr:rowOff>
    </xdr:to>
    <xdr:sp macro="" textlink="">
      <xdr:nvSpPr>
        <xdr:cNvPr id="54" name="Oval 53">
          <a:extLst>
            <a:ext uri="{FF2B5EF4-FFF2-40B4-BE49-F238E27FC236}">
              <a16:creationId xmlns:a16="http://schemas.microsoft.com/office/drawing/2014/main" id="{71B4876E-9E1E-493B-9575-B497909347DA}"/>
            </a:ext>
          </a:extLst>
        </xdr:cNvPr>
        <xdr:cNvSpPr/>
      </xdr:nvSpPr>
      <xdr:spPr>
        <a:xfrm>
          <a:off x="984885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2800" b="1">
              <a:solidFill>
                <a:srgbClr val="00E676"/>
              </a:solidFill>
            </a:rPr>
            <a:t>%</a:t>
          </a:r>
        </a:p>
      </xdr:txBody>
    </xdr:sp>
    <xdr:clientData/>
  </xdr:twoCellAnchor>
  <xdr:twoCellAnchor>
    <xdr:from>
      <xdr:col>10</xdr:col>
      <xdr:colOff>676275</xdr:colOff>
      <xdr:row>1</xdr:row>
      <xdr:rowOff>47624</xdr:rowOff>
    </xdr:from>
    <xdr:to>
      <xdr:col>11</xdr:col>
      <xdr:colOff>390525</xdr:colOff>
      <xdr:row>2</xdr:row>
      <xdr:rowOff>114299</xdr:rowOff>
    </xdr:to>
    <xdr:sp macro="" textlink="">
      <xdr:nvSpPr>
        <xdr:cNvPr id="55" name="TextBox 54">
          <a:extLst>
            <a:ext uri="{FF2B5EF4-FFF2-40B4-BE49-F238E27FC236}">
              <a16:creationId xmlns:a16="http://schemas.microsoft.com/office/drawing/2014/main" id="{171A0E00-8E7C-4A6E-90B6-FF8160736322}"/>
            </a:ext>
          </a:extLst>
        </xdr:cNvPr>
        <xdr:cNvSpPr txBox="1"/>
      </xdr:nvSpPr>
      <xdr:spPr>
        <a:xfrm>
          <a:off x="8334375" y="238124"/>
          <a:ext cx="1428750" cy="257175"/>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bg1"/>
              </a:solidFill>
            </a:rPr>
            <a:t>NET </a:t>
          </a:r>
          <a:r>
            <a:rPr lang="es-ES" sz="1100" b="1">
              <a:solidFill>
                <a:schemeClr val="bg1"/>
              </a:solidFill>
            </a:rPr>
            <a:t>PROFIT</a:t>
          </a:r>
          <a:r>
            <a:rPr lang="es-ES" sz="1100">
              <a:solidFill>
                <a:schemeClr val="bg1"/>
              </a:solidFill>
            </a:rPr>
            <a:t> </a:t>
          </a:r>
          <a:r>
            <a:rPr lang="es-ES" sz="1100" b="1">
              <a:solidFill>
                <a:schemeClr val="bg1"/>
              </a:solidFill>
            </a:rPr>
            <a:t>MARGIN</a:t>
          </a:r>
          <a:r>
            <a:rPr lang="es-ES" sz="1100" baseline="0">
              <a:solidFill>
                <a:schemeClr val="bg1"/>
              </a:solidFill>
            </a:rPr>
            <a:t> </a:t>
          </a:r>
          <a:endParaRPr lang="es-ES" sz="1100">
            <a:solidFill>
              <a:schemeClr val="bg1"/>
            </a:solidFill>
          </a:endParaRPr>
        </a:p>
      </xdr:txBody>
    </xdr:sp>
    <xdr:clientData/>
  </xdr:twoCellAnchor>
  <xdr:twoCellAnchor>
    <xdr:from>
      <xdr:col>11</xdr:col>
      <xdr:colOff>1181100</xdr:colOff>
      <xdr:row>0</xdr:row>
      <xdr:rowOff>142874</xdr:rowOff>
    </xdr:from>
    <xdr:to>
      <xdr:col>13</xdr:col>
      <xdr:colOff>942225</xdr:colOff>
      <xdr:row>6</xdr:row>
      <xdr:rowOff>674</xdr:rowOff>
    </xdr:to>
    <xdr:sp macro="" textlink="$Q$7">
      <xdr:nvSpPr>
        <xdr:cNvPr id="57" name="Rectangle: Rounded Corners 56">
          <a:extLst>
            <a:ext uri="{FF2B5EF4-FFF2-40B4-BE49-F238E27FC236}">
              <a16:creationId xmlns:a16="http://schemas.microsoft.com/office/drawing/2014/main" id="{B21F9278-0219-4936-BDEF-D5DDFE68B394}"/>
            </a:ext>
          </a:extLst>
        </xdr:cNvPr>
        <xdr:cNvSpPr/>
      </xdr:nvSpPr>
      <xdr:spPr>
        <a:xfrm>
          <a:off x="10553700"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35051F9-C444-45EC-8B95-CCBE5A8DD0DC}" type="TxLink">
            <a:rPr lang="en-US" sz="2400" b="1" i="0" u="none" strike="noStrike">
              <a:solidFill>
                <a:srgbClr val="FFFFFF"/>
              </a:solidFill>
              <a:latin typeface="Aptos Narrow"/>
            </a:rPr>
            <a:pPr algn="ctr"/>
            <a:t>#N/A</a:t>
          </a:fld>
          <a:endParaRPr lang="en-US" sz="11500" b="1">
            <a:solidFill>
              <a:schemeClr val="bg1"/>
            </a:solidFill>
          </a:endParaRPr>
        </a:p>
      </xdr:txBody>
    </xdr:sp>
    <xdr:clientData/>
  </xdr:twoCellAnchor>
  <xdr:twoCellAnchor>
    <xdr:from>
      <xdr:col>13</xdr:col>
      <xdr:colOff>390525</xdr:colOff>
      <xdr:row>1</xdr:row>
      <xdr:rowOff>47625</xdr:rowOff>
    </xdr:from>
    <xdr:to>
      <xdr:col>13</xdr:col>
      <xdr:colOff>762000</xdr:colOff>
      <xdr:row>3</xdr:row>
      <xdr:rowOff>0</xdr:rowOff>
    </xdr:to>
    <xdr:sp macro="" textlink="">
      <xdr:nvSpPr>
        <xdr:cNvPr id="58" name="Oval 57">
          <a:extLst>
            <a:ext uri="{FF2B5EF4-FFF2-40B4-BE49-F238E27FC236}">
              <a16:creationId xmlns:a16="http://schemas.microsoft.com/office/drawing/2014/main" id="{D2AC269D-C1F4-4A59-8FDC-B3F2CE0141F0}"/>
            </a:ext>
          </a:extLst>
        </xdr:cNvPr>
        <xdr:cNvSpPr/>
      </xdr:nvSpPr>
      <xdr:spPr>
        <a:xfrm>
          <a:off x="12039600" y="23812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1257300</xdr:colOff>
      <xdr:row>1</xdr:row>
      <xdr:rowOff>66675</xdr:rowOff>
    </xdr:from>
    <xdr:to>
      <xdr:col>13</xdr:col>
      <xdr:colOff>333374</xdr:colOff>
      <xdr:row>2</xdr:row>
      <xdr:rowOff>123825</xdr:rowOff>
    </xdr:to>
    <xdr:sp macro="" textlink="">
      <xdr:nvSpPr>
        <xdr:cNvPr id="59" name="TextBox 58">
          <a:extLst>
            <a:ext uri="{FF2B5EF4-FFF2-40B4-BE49-F238E27FC236}">
              <a16:creationId xmlns:a16="http://schemas.microsoft.com/office/drawing/2014/main" id="{9A462450-7D85-4E6A-B4FA-55E3CB751B0F}"/>
            </a:ext>
          </a:extLst>
        </xdr:cNvPr>
        <xdr:cNvSpPr txBox="1"/>
      </xdr:nvSpPr>
      <xdr:spPr>
        <a:xfrm>
          <a:off x="10629900" y="257175"/>
          <a:ext cx="1352549"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bg1"/>
              </a:solidFill>
            </a:rPr>
            <a:t>FINANCIAL  HEALTH</a:t>
          </a:r>
          <a:r>
            <a:rPr lang="es-ES" sz="1100" baseline="0">
              <a:solidFill>
                <a:schemeClr val="bg1"/>
              </a:solidFill>
            </a:rPr>
            <a:t> </a:t>
          </a:r>
          <a:endParaRPr lang="es-ES" sz="1100">
            <a:solidFill>
              <a:schemeClr val="bg1"/>
            </a:solidFill>
          </a:endParaRPr>
        </a:p>
      </xdr:txBody>
    </xdr:sp>
    <xdr:clientData/>
  </xdr:twoCellAnchor>
  <xdr:twoCellAnchor editAs="oneCell">
    <xdr:from>
      <xdr:col>13</xdr:col>
      <xdr:colOff>390525</xdr:colOff>
      <xdr:row>1</xdr:row>
      <xdr:rowOff>85725</xdr:rowOff>
    </xdr:from>
    <xdr:to>
      <xdr:col>13</xdr:col>
      <xdr:colOff>762001</xdr:colOff>
      <xdr:row>2</xdr:row>
      <xdr:rowOff>161925</xdr:rowOff>
    </xdr:to>
    <xdr:pic>
      <xdr:nvPicPr>
        <xdr:cNvPr id="62" name="Graphic 61" descr="Heart with pulse with solid fill">
          <a:extLst>
            <a:ext uri="{FF2B5EF4-FFF2-40B4-BE49-F238E27FC236}">
              <a16:creationId xmlns:a16="http://schemas.microsoft.com/office/drawing/2014/main" id="{E980D310-99F4-B3FF-37EC-98DFA9430DE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039600" y="276225"/>
          <a:ext cx="371476" cy="266700"/>
        </a:xfrm>
        <a:prstGeom prst="rect">
          <a:avLst/>
        </a:prstGeom>
      </xdr:spPr>
    </xdr:pic>
    <xdr:clientData/>
  </xdr:twoCellAnchor>
  <xdr:twoCellAnchor>
    <xdr:from>
      <xdr:col>11</xdr:col>
      <xdr:colOff>85725</xdr:colOff>
      <xdr:row>20</xdr:row>
      <xdr:rowOff>171450</xdr:rowOff>
    </xdr:from>
    <xdr:to>
      <xdr:col>14</xdr:col>
      <xdr:colOff>57151</xdr:colOff>
      <xdr:row>27</xdr:row>
      <xdr:rowOff>28574</xdr:rowOff>
    </xdr:to>
    <xdr:graphicFrame macro="">
      <xdr:nvGraphicFramePr>
        <xdr:cNvPr id="7" name="Chart 6">
          <a:extLst>
            <a:ext uri="{FF2B5EF4-FFF2-40B4-BE49-F238E27FC236}">
              <a16:creationId xmlns:a16="http://schemas.microsoft.com/office/drawing/2014/main" id="{073ACCC1-90E2-4F5B-B93E-058357DAB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146825</xdr:colOff>
      <xdr:row>20</xdr:row>
      <xdr:rowOff>146128</xdr:rowOff>
    </xdr:from>
    <xdr:to>
      <xdr:col>1</xdr:col>
      <xdr:colOff>494138</xdr:colOff>
      <xdr:row>24</xdr:row>
      <xdr:rowOff>79452</xdr:rowOff>
    </xdr:to>
    <xdr:sp macro="" textlink="">
      <xdr:nvSpPr>
        <xdr:cNvPr id="16" name="TextBox 15">
          <a:extLst>
            <a:ext uri="{FF2B5EF4-FFF2-40B4-BE49-F238E27FC236}">
              <a16:creationId xmlns:a16="http://schemas.microsoft.com/office/drawing/2014/main" id="{FFAE2437-02B5-539C-7628-F927F1AF3EEA}"/>
            </a:ext>
          </a:extLst>
        </xdr:cNvPr>
        <xdr:cNvSpPr txBox="1"/>
      </xdr:nvSpPr>
      <xdr:spPr>
        <a:xfrm>
          <a:off x="146825" y="3956128"/>
          <a:ext cx="956913" cy="69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s-ES" sz="1800" b="1">
              <a:solidFill>
                <a:schemeClr val="bg1"/>
              </a:solidFill>
            </a:rPr>
            <a:t>Back to Search</a:t>
          </a:r>
        </a:p>
      </xdr:txBody>
    </xdr:sp>
    <xdr:clientData/>
  </xdr:twoCellAnchor>
  <xdr:twoCellAnchor editAs="oneCell">
    <xdr:from>
      <xdr:col>0</xdr:col>
      <xdr:colOff>535328</xdr:colOff>
      <xdr:row>19</xdr:row>
      <xdr:rowOff>89987</xdr:rowOff>
    </xdr:from>
    <xdr:to>
      <xdr:col>1</xdr:col>
      <xdr:colOff>260008</xdr:colOff>
      <xdr:row>21</xdr:row>
      <xdr:rowOff>42362</xdr:rowOff>
    </xdr:to>
    <xdr:pic>
      <xdr:nvPicPr>
        <xdr:cNvPr id="18" name="Graphic 17" descr="Magnifying glass with solid fill">
          <a:extLst>
            <a:ext uri="{FF2B5EF4-FFF2-40B4-BE49-F238E27FC236}">
              <a16:creationId xmlns:a16="http://schemas.microsoft.com/office/drawing/2014/main" id="{0D548522-B3CA-3E7A-78CA-74A41FA2183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5843681" flipV="1">
          <a:off x="535780" y="3709035"/>
          <a:ext cx="333375" cy="3342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no Ferrer" refreshedDate="46143.757585185187" missingItemsLimit="0" createdVersion="8" refreshedVersion="8" minRefreshableVersion="3" recordCount="1" xr:uid="{95E8791E-434D-41AB-8653-6B1705DA2BC1}">
  <cacheSource type="worksheet">
    <worksheetSource name="FACT_FINANCIALS_CORRECT"/>
  </cacheSource>
  <cacheFields count="23">
    <cacheField name="Company" numFmtId="0">
      <sharedItems containsNonDate="0" containsString="0" containsBlank="1"/>
    </cacheField>
    <cacheField name="OperatingProfitMargin" numFmtId="0">
      <sharedItems containsNonDate="0" containsString="0" containsBlank="1"/>
    </cacheField>
    <cacheField name="AssetTurnover" numFmtId="0">
      <sharedItems containsNonDate="0" containsString="0" containsBlank="1"/>
    </cacheField>
    <cacheField name="DebtToEquityRatio" numFmtId="0">
      <sharedItems containsNonDate="0" containsString="0" containsBlank="1"/>
    </cacheField>
    <cacheField name="NetProfitMargin" numFmtId="0">
      <sharedItems containsNonDate="0" containsString="0" containsBlank="1"/>
    </cacheField>
    <cacheField name="Profitability" numFmtId="0">
      <sharedItems containsNonDate="0" containsString="0" containsBlank="1"/>
    </cacheField>
    <cacheField name="Efficiency" numFmtId="0">
      <sharedItems containsNonDate="0" containsString="0" containsBlank="1"/>
    </cacheField>
    <cacheField name="Leverage" numFmtId="0">
      <sharedItems containsNonDate="0" containsString="0" containsBlank="1"/>
    </cacheField>
    <cacheField name="Financial Health" numFmtId="0">
      <sharedItems containsNonDate="0" containsString="0" containsBlank="1"/>
    </cacheField>
    <cacheField name="Ticker" numFmtId="0">
      <sharedItems containsNonDate="0" containsString="0" containsBlank="1" count="1">
        <m/>
      </sharedItems>
    </cacheField>
    <cacheField name="Date" numFmtId="14">
      <sharedItems containsNonDate="0" containsString="0" containsBlank="1"/>
    </cacheField>
    <cacheField name="Year" numFmtId="0">
      <sharedItems containsNonDate="0" containsString="0" containsBlank="1" count="1">
        <m/>
      </sharedItems>
    </cacheField>
    <cacheField name="Revenue" numFmtId="0">
      <sharedItems containsNonDate="0" containsString="0" containsBlank="1"/>
    </cacheField>
    <cacheField name="netIncome" numFmtId="0">
      <sharedItems containsNonDate="0" containsString="0" containsBlank="1"/>
    </cacheField>
    <cacheField name="EBITDA" numFmtId="0">
      <sharedItems containsNonDate="0" containsString="0" containsBlank="1"/>
    </cacheField>
    <cacheField name="Revenue_disp" numFmtId="0">
      <sharedItems containsNonDate="0" containsString="0" containsBlank="1"/>
    </cacheField>
    <cacheField name="EBITDA_disp" numFmtId="0">
      <sharedItems containsNonDate="0" containsString="0" containsBlank="1"/>
    </cacheField>
    <cacheField name="NetIncome_disp" numFmtId="0">
      <sharedItems containsNonDate="0" containsString="0" containsBlank="1"/>
    </cacheField>
    <cacheField name="NetIncome_dsh" numFmtId="0">
      <sharedItems containsNonDate="0" containsString="0" containsBlank="1"/>
    </cacheField>
    <cacheField name="Revenue_dsh" numFmtId="0">
      <sharedItems containsNonDate="0" containsString="0" containsBlank="1"/>
    </cacheField>
    <cacheField name="EBITDA_dsh" numFmtId="0">
      <sharedItems containsNonDate="0" containsString="0" containsBlank="1"/>
    </cacheField>
    <cacheField name="Score Health" numFmtId="0">
      <sharedItems containsNonDate="0" containsString="0" containsBlank="1"/>
    </cacheField>
    <cacheField name="HISTORICAL HEALTH" numFmtId="0">
      <sharedItems containsNonDate="0" containsString="0" containsBlank="1"/>
    </cacheField>
  </cacheFields>
  <extLst>
    <ext xmlns:x14="http://schemas.microsoft.com/office/spreadsheetml/2009/9/main" uri="{725AE2AE-9491-48be-B2B4-4EB974FC3084}">
      <x14:pivotCacheDefinition pivotCacheId="3381739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m/>
    <m/>
    <m/>
    <m/>
    <m/>
    <x v="0"/>
    <m/>
    <x v="0"/>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6FCE89-D070-46F7-BAC9-8F01CAEB9543}" name="PivotTable11"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43:D4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ubtotalTop="0" showAll="0" defaultSubtotal="0"/>
  </pivotFields>
  <rowFields count="1">
    <field x="11"/>
  </rowFields>
  <rowItems count="1">
    <i>
      <x/>
    </i>
  </rowItems>
  <colItems count="1">
    <i/>
  </colItems>
  <pageFields count="1">
    <pageField fld="9" hier="-1"/>
  </pageFields>
  <dataFields count="1">
    <dataField name="Sum of Score Health"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6E16E-CC5C-4712-BC6D-E9FF157EFD0B}" name="PivotTable10"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3:B4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ubtotalTop="0" showAll="0" defaultSubtotal="0"/>
  </pivotFields>
  <rowFields count="1">
    <field x="11"/>
  </rowFields>
  <rowItems count="1">
    <i>
      <x/>
    </i>
  </rowItems>
  <colItems count="1">
    <i/>
  </colItems>
  <pageFields count="1">
    <pageField fld="9" hier="-1"/>
  </pageFields>
  <dataFields count="1">
    <dataField name="Sum of EBITDA_dsh"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A1B8D3-DA0E-4318-8349-7C37646F4C47}" name="PivotTable6"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4:H35" firstHeaderRow="0" firstDataRow="1" firstDataCol="1"/>
  <pivotFields count="23">
    <pivotField showAll="0"/>
    <pivotField dataField="1" showAll="0"/>
    <pivotField dataField="1" showAll="0"/>
    <pivotField dataField="1" showAll="0"/>
    <pivotField dataField="1" showAll="0"/>
    <pivotField showAll="0"/>
    <pivotField showAll="0"/>
    <pivotField showAll="0"/>
    <pivotField showAll="0"/>
    <pivotField showAll="0">
      <items count="2">
        <item x="0"/>
        <item t="default"/>
      </items>
    </pivotField>
    <pivotField numFmtId="14" showAll="0"/>
    <pivotField axis="axisRow" showAll="0">
      <items count="2">
        <item x="0"/>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1"/>
  </rowFields>
  <rowItems count="1">
    <i>
      <x/>
    </i>
  </rowItems>
  <colFields count="1">
    <field x="-2"/>
  </colFields>
  <colItems count="7">
    <i>
      <x/>
    </i>
    <i i="1">
      <x v="1"/>
    </i>
    <i i="2">
      <x v="2"/>
    </i>
    <i i="3">
      <x v="3"/>
    </i>
    <i i="4">
      <x v="4"/>
    </i>
    <i i="5">
      <x v="5"/>
    </i>
    <i i="6">
      <x v="6"/>
    </i>
  </colItems>
  <dataFields count="7">
    <dataField name="Sum of Revenue_dsh" fld="19" baseField="0" baseItem="0"/>
    <dataField name="Sum of NetIncome_dsh" fld="18" baseField="0" baseItem="0"/>
    <dataField name="Sum of EBITDA_dsh" fld="20" baseField="0" baseItem="0"/>
    <dataField name="Sum of NetProfitMargin" fld="4" baseField="0" baseItem="0"/>
    <dataField name="Sum of DebtToEquityRatio" fld="3" baseField="0" baseItem="0"/>
    <dataField name="Sum of AssetTurnover" fld="2" baseField="0" baseItem="0"/>
    <dataField name="Sum of OperatingProfitMargin"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AE18CD-5F3B-4ED8-B561-87621A7A3247}" name="PivotTable4"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6">
  <location ref="A11:B12" firstHeaderRow="1" firstDataRow="1" firstDataCol="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ubtotalTop="0" showAll="0" defaultSubtotal="0"/>
    <pivotField subtotalTop="0" showAll="0" defaultSubtotal="0"/>
  </pivotFields>
  <rowFields count="1">
    <field x="11"/>
  </rowFields>
  <rowItems count="1">
    <i>
      <x/>
    </i>
  </rowItems>
  <colItems count="1">
    <i/>
  </colItems>
  <dataFields count="1">
    <dataField name="Sum of NetIncome_dsh" fld="18" baseField="0" baseItem="0"/>
  </dataFields>
  <chartFormats count="2">
    <chartFormat chart="0"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5BE52B-F637-4288-8138-81F9BF23F690}" name="PivotTable2"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 firstHeaderRow="0" firstDataRow="0" firstDataCol="0" rowPageCount="1" colPageCount="1"/>
  <pivotFields count="23">
    <pivotField showAll="0"/>
    <pivotField showAll="0"/>
    <pivotField showAll="0"/>
    <pivotField showAll="0"/>
    <pivotField showAll="0"/>
    <pivotField showAll="0"/>
    <pivotField showAll="0"/>
    <pivotField showAll="0"/>
    <pivotField showAll="0"/>
    <pivotField axis="axisPage" multipleItemSelectionAllowed="1" showAll="0">
      <items count="2">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2A2965-EDCC-4675-968B-624A7AB68CD6}" name="PivotTable1"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A3:B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ubtotalTop="0" showAll="0" defaultSubtotal="0"/>
    <pivotField subtotalTop="0" showAll="0" defaultSubtotal="0"/>
  </pivotFields>
  <rowFields count="1">
    <field x="11"/>
  </rowFields>
  <rowItems count="1">
    <i>
      <x/>
    </i>
  </rowItems>
  <colItems count="1">
    <i/>
  </colItems>
  <pageFields count="1">
    <pageField fld="9" hier="-1"/>
  </pageFields>
  <dataFields count="1">
    <dataField name="Sum of Revenue_dsh" fld="19" baseField="0" baseItem="0"/>
  </dataFields>
  <formats count="1">
    <format dxfId="20">
      <pivotArea outline="0" collapsedLevelsAreSubtotals="1" fieldPosition="0"/>
    </format>
  </formats>
  <chartFormats count="2">
    <chartFormat chart="4" format="4"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9019B4-5AD1-4A07-97C4-4AAE45FB176B}" name="PivotTable5"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A20:D21" firstHeaderRow="0" firstDataRow="1" firstDataCol="1"/>
  <pivotFields count="23">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
        <item x="0"/>
      </items>
    </pivotField>
    <pivotField compact="0" numFmtId="14" outline="0" showAll="0" defaultSubtotal="0"/>
    <pivotField axis="axisRow" compact="0" outline="0" showAll="0" sortType="descending"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ubtotalTop="0" showAll="0" defaultSubtotal="0"/>
    <pivotField compact="0" outline="0" subtotalTop="0" showAll="0" defaultSubtotal="0"/>
  </pivotFields>
  <rowFields count="1">
    <field x="11"/>
  </rowFields>
  <rowItems count="1">
    <i>
      <x/>
    </i>
  </rowItems>
  <colFields count="1">
    <field x="-2"/>
  </colFields>
  <colItems count="3">
    <i>
      <x/>
    </i>
    <i i="1">
      <x v="1"/>
    </i>
    <i i="2">
      <x v="2"/>
    </i>
  </colItems>
  <dataFields count="3">
    <dataField name="Net Profit Margin" fld="4" baseField="11" baseItem="3"/>
    <dataField name="Operating Profit Margin" fld="1" baseField="0" baseItem="0"/>
    <dataField name="Sum of EBITDA_dsh" fld="20" baseField="0" baseItem="0"/>
  </dataFields>
  <chartFormats count="8">
    <chartFormat chart="0" format="0"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9" format="9" series="1">
      <pivotArea type="data" outline="0" fieldPosition="0">
        <references count="1">
          <reference field="4294967294" count="1" selected="0">
            <x v="0"/>
          </reference>
        </references>
      </pivotArea>
    </chartFormat>
    <chartFormat chart="9" format="10"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31CD209-0B93-4868-BC2A-881B5D2532D2}" name="PivotTable17"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51:B52"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
        <item x="0"/>
      </items>
    </pivotField>
    <pivotField numFmtId="14" showAll="0" defaultSubtotal="0"/>
    <pivotField axis="axisRow" showAll="0" sortType="a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ubtotalTop="0" showAll="0" defaultSubtotal="0"/>
  </pivotFields>
  <rowFields count="1">
    <field x="11"/>
  </rowFields>
  <rowItems count="1">
    <i>
      <x/>
    </i>
  </rowItems>
  <colItems count="1">
    <i/>
  </colItems>
  <pageFields count="1">
    <pageField fld="9" hier="-1"/>
  </pageFields>
  <dataFields count="1">
    <dataField name="Sum of Score Health" fld="21" baseField="0" baseItem="0"/>
  </dataFields>
  <formats count="4">
    <format dxfId="24">
      <pivotArea type="all" dataOnly="0" outline="0" fieldPosition="0"/>
    </format>
    <format dxfId="23">
      <pivotArea outline="0" collapsedLevelsAreSubtotals="1" fieldPosition="0"/>
    </format>
    <format dxfId="22">
      <pivotArea field="11" type="button" dataOnly="0" labelOnly="1" outline="0" axis="axisRow" fieldPosition="0"/>
    </format>
    <format dxfId="21">
      <pivotArea dataOnly="0" labelOnly="1" outline="0" axis="axisValues" fieldPosition="0"/>
    </format>
  </formats>
  <chartFormats count="2">
    <chartFormat chart="5" format="7"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C421B8-9F38-47C3-9C29-534C36C21896}" name="PivotTable1" cacheId="3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rowHeaderCaption="Year">
  <location ref="D22:K23" firstHeaderRow="0" firstDataRow="1" firstDataCol="1"/>
  <pivotFields count="23">
    <pivotField showAll="0"/>
    <pivotField dataField="1" showAll="0"/>
    <pivotField dataField="1" showAll="0"/>
    <pivotField dataField="1" showAll="0"/>
    <pivotField dataField="1" showAll="0"/>
    <pivotField showAll="0"/>
    <pivotField showAll="0"/>
    <pivotField showAll="0"/>
    <pivotField showAll="0"/>
    <pivotField showAll="0">
      <items count="2">
        <item x="0"/>
        <item t="default"/>
      </items>
    </pivotField>
    <pivotField numFmtId="14" showAll="0"/>
    <pivotField axis="axisRow" showAll="0">
      <items count="2">
        <item x="0"/>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1"/>
  </rowFields>
  <rowItems count="1">
    <i>
      <x/>
    </i>
  </rowItems>
  <colFields count="1">
    <field x="-2"/>
  </colFields>
  <colItems count="7">
    <i>
      <x/>
    </i>
    <i i="1">
      <x v="1"/>
    </i>
    <i i="2">
      <x v="2"/>
    </i>
    <i i="3">
      <x v="3"/>
    </i>
    <i i="4">
      <x v="4"/>
    </i>
    <i i="5">
      <x v="5"/>
    </i>
    <i i="6">
      <x v="6"/>
    </i>
  </colItems>
  <dataFields count="7">
    <dataField name="Revenue (B)" fld="19" baseField="0" baseItem="0"/>
    <dataField name="Net Income (B)" fld="18" baseField="0" baseItem="0"/>
    <dataField name="Ebitda (B)" fld="20" baseField="0" baseItem="0"/>
    <dataField name="Net Profit Margin (%)" fld="4" baseField="0" baseItem="0"/>
    <dataField name="Debt To Equity" fld="3" baseField="0" baseItem="0"/>
    <dataField name="Asset Turnover" fld="2" baseField="0" baseItem="0"/>
    <dataField name="Operating Profit Margin (%)" fld="1" baseField="0" baseItem="0"/>
  </dataFields>
  <formats count="6">
    <format dxfId="19">
      <pivotArea field="11" type="button" dataOnly="0" labelOnly="1" outline="0" axis="axisRow" fieldPosition="0"/>
    </format>
    <format dxfId="18">
      <pivotArea dataOnly="0" labelOnly="1" outline="0" fieldPosition="0">
        <references count="1">
          <reference field="4294967294" count="7">
            <x v="0"/>
            <x v="1"/>
            <x v="2"/>
            <x v="3"/>
            <x v="4"/>
            <x v="5"/>
            <x v="6"/>
          </reference>
        </references>
      </pivotArea>
    </format>
    <format dxfId="17">
      <pivotArea field="11" type="button" dataOnly="0" labelOnly="1" outline="0" axis="axisRow" fieldPosition="0"/>
    </format>
    <format dxfId="16">
      <pivotArea dataOnly="0" labelOnly="1" outline="0" fieldPosition="0">
        <references count="1">
          <reference field="4294967294" count="7">
            <x v="0"/>
            <x v="1"/>
            <x v="2"/>
            <x v="3"/>
            <x v="4"/>
            <x v="5"/>
            <x v="6"/>
          </reference>
        </references>
      </pivotArea>
    </format>
    <format dxfId="15">
      <pivotArea field="11" type="button" dataOnly="0" labelOnly="1" outline="0" axis="axisRow" fieldPosition="0"/>
    </format>
    <format dxfId="1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1" xr16:uid="{6A2BED8B-A81F-4C7E-9A06-3289A28A5992}" autoFormatId="16" applyNumberFormats="0" applyBorderFormats="0" applyFontFormats="0" applyPatternFormats="0" applyAlignmentFormats="0" applyWidthHeightFormats="0">
  <queryTableRefresh nextId="24">
    <queryTableFields count="23">
      <queryTableField id="1" name="Company" tableColumnId="1"/>
      <queryTableField id="2" name="OperatingProfitMargin" tableColumnId="2"/>
      <queryTableField id="3" name="AssetTurnover" tableColumnId="3"/>
      <queryTableField id="4" name="DebtToEquityRatio" tableColumnId="4"/>
      <queryTableField id="5" name="NetProfitMargin" tableColumnId="5"/>
      <queryTableField id="6" name="Profitability" tableColumnId="6"/>
      <queryTableField id="7" name="Efficiency" tableColumnId="7"/>
      <queryTableField id="8" name="Leverage" tableColumnId="8"/>
      <queryTableField id="9" name="Financial Health" tableColumnId="9"/>
      <queryTableField id="10" name="Ticker" tableColumnId="10"/>
      <queryTableField id="11" name="Date" tableColumnId="11"/>
      <queryTableField id="12" name="Year" tableColumnId="12"/>
      <queryTableField id="13" name="Revenue" tableColumnId="13"/>
      <queryTableField id="14" name="netIncome" tableColumnId="14"/>
      <queryTableField id="15" name="EBITDA" tableColumnId="15"/>
      <queryTableField id="16" name="Revenue_disp" tableColumnId="16"/>
      <queryTableField id="17" name="EBITDA_disp" tableColumnId="17"/>
      <queryTableField id="18" name="NetIncome_disp" tableColumnId="18"/>
      <queryTableField id="19" name="NetIncome_dsh" tableColumnId="19"/>
      <queryTableField id="20" name="Revenue_dsh" tableColumnId="20"/>
      <queryTableField id="21" name="EBITDA_dsh" tableColumnId="21"/>
      <queryTableField id="22" name="Score Health" tableColumnId="22"/>
      <queryTableField id="23" name="HISTORICAL HEALTH"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957606A7-9AA6-4774-9565-F0DCC4A1926E}" autoFormatId="16" applyNumberFormats="0" applyBorderFormats="0" applyFontFormats="0" applyPatternFormats="0" applyAlignmentFormats="0" applyWidthHeightFormats="0">
  <queryTableRefresh nextId="32">
    <queryTableFields count="18">
      <queryTableField id="1" name="Ticker" tableColumnId="1"/>
      <queryTableField id="2" name="Company" tableColumnId="2"/>
      <queryTableField id="3" name="OperatingProfitMargin" tableColumnId="3"/>
      <queryTableField id="4" name="AssetTurnover" tableColumnId="4"/>
      <queryTableField id="5" name="DebtToEquityRatio" tableColumnId="5"/>
      <queryTableField id="6" name="NetProfitMargin" tableColumnId="6"/>
      <queryTableField id="7" name="Profitability" tableColumnId="7"/>
      <queryTableField id="8" name="Efficiency" tableColumnId="8"/>
      <queryTableField id="9" name="Leverage" tableColumnId="9"/>
      <queryTableField id="10" name="Financial Health" tableColumnId="10"/>
      <queryTableField id="12" name="Date" tableColumnId="12"/>
      <queryTableField id="13" name="Year" tableColumnId="13"/>
      <queryTableField id="14" name="Revenue" tableColumnId="14"/>
      <queryTableField id="15" name="netIncome" tableColumnId="15"/>
      <queryTableField id="16" name="EBITDA" tableColumnId="16"/>
      <queryTableField id="17" name="Revenue_disp" tableColumnId="17"/>
      <queryTableField id="18" name="EBITDA_disp" tableColumnId="18"/>
      <queryTableField id="19" name="NetIncome_disp" tableColumnId="19"/>
    </queryTableFields>
    <queryTableDeletedFields count="6">
      <deletedField name="Ticker.1"/>
      <deletedField name="Ticker.1"/>
      <deletedField name="Ticker.1"/>
      <deletedField name="Ticker.1"/>
      <deletedField name="Ticker.1"/>
      <deletedField name="Ticker.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 xr10:uid="{9394A6C0-B1E2-4DDF-9545-F7541CCF87DB}" sourceName="Ticker">
  <pivotTables>
    <pivotTable tabId="28" name="PivotTable2"/>
    <pivotTable tabId="28" name="PivotTable1"/>
    <pivotTable tabId="28" name="PivotTable4"/>
    <pivotTable tabId="28" name="PivotTable5"/>
    <pivotTable tabId="28" name="PivotTable6"/>
    <pivotTable tabId="29" name="PivotTable1"/>
    <pivotTable tabId="28" name="PivotTable10"/>
    <pivotTable tabId="28" name="PivotTable11"/>
    <pivotTable tabId="28" name="PivotTable17"/>
  </pivotTables>
  <data>
    <tabular pivotCacheId="338173923">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r" xr10:uid="{D3CBA867-876A-48FC-8B72-FA0C2E21F1A4}" cache="Slicer_Ticker" caption="Ticker" style="SlicerStyleLight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r 1" xr10:uid="{41EA3401-C8D5-4E4D-8E18-7CC2B9D362D6}" cache="Slicer_Ticker" caption="Ticker" style="SlicerStyleDark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90B0BE-CC75-4C16-BFA0-257B1D468950}" name="FACT_FINANCIALS_CORRECT" displayName="FACT_FINANCIALS_CORRECT" ref="A1:W2" tableType="queryTable" insertRow="1" totalsRowShown="0">
  <autoFilter ref="A1:W2" xr:uid="{E890B0BE-CC75-4C16-BFA0-257B1D468950}"/>
  <tableColumns count="23">
    <tableColumn id="1" xr3:uid="{EB063B3B-120B-44C1-AF83-723C40088F69}" uniqueName="1" name="Company" queryTableFieldId="1" dataDxfId="30"/>
    <tableColumn id="2" xr3:uid="{64857907-F715-42FD-8E7C-F3DF5BC82F3C}" uniqueName="2" name="OperatingProfitMargin" queryTableFieldId="2"/>
    <tableColumn id="3" xr3:uid="{F56B3BC5-C38A-4EA4-A24F-FC43E9DAC405}" uniqueName="3" name="AssetTurnover" queryTableFieldId="3"/>
    <tableColumn id="4" xr3:uid="{AA414FB2-1248-4516-A73A-F1EB6C6ACE13}" uniqueName="4" name="DebtToEquityRatio" queryTableFieldId="4"/>
    <tableColumn id="5" xr3:uid="{6643E38E-3D0D-41E8-9E02-89CC267B9B48}" uniqueName="5" name="NetProfitMargin" queryTableFieldId="5"/>
    <tableColumn id="6" xr3:uid="{CD336D65-104A-4673-87C5-C69AE6F61F53}" uniqueName="6" name="Profitability" queryTableFieldId="6"/>
    <tableColumn id="7" xr3:uid="{01ACD76B-E509-48E7-B925-89269B66E8ED}" uniqueName="7" name="Efficiency" queryTableFieldId="7"/>
    <tableColumn id="8" xr3:uid="{804574E0-2405-423C-8EEE-EF31651220F4}" uniqueName="8" name="Leverage" queryTableFieldId="8"/>
    <tableColumn id="9" xr3:uid="{1711525E-9847-4C0C-9EEC-7CAD1A0673F5}" uniqueName="9" name="Financial Health" queryTableFieldId="9"/>
    <tableColumn id="10" xr3:uid="{DC6267C9-FA0C-4D1C-B7F3-9FB89DA8D563}" uniqueName="10" name="Ticker" queryTableFieldId="10" dataDxfId="29"/>
    <tableColumn id="11" xr3:uid="{3F91D88A-EAF1-4858-B9E5-B6B839BB9E3D}" uniqueName="11" name="Date" queryTableFieldId="11" dataDxfId="28"/>
    <tableColumn id="12" xr3:uid="{5A14C725-A943-4F7F-9AE1-134F0C582105}" uniqueName="12" name="Year" queryTableFieldId="12"/>
    <tableColumn id="13" xr3:uid="{AEC68C3E-EE8C-487C-A7D2-E34E62EEC56D}" uniqueName="13" name="Revenue" queryTableFieldId="13"/>
    <tableColumn id="14" xr3:uid="{4FF7BB61-40FB-408D-A3C5-985A2C63E9AA}" uniqueName="14" name="netIncome" queryTableFieldId="14"/>
    <tableColumn id="15" xr3:uid="{4BCC2329-146A-43B5-B18A-37D892F11979}" uniqueName="15" name="EBITDA" queryTableFieldId="15"/>
    <tableColumn id="16" xr3:uid="{ADB30D40-2A25-4753-B27B-0319AE3FD5CA}" uniqueName="16" name="Revenue_disp" queryTableFieldId="16"/>
    <tableColumn id="17" xr3:uid="{94C98A61-1E13-4358-AC5C-11AAAA6996A7}" uniqueName="17" name="EBITDA_disp" queryTableFieldId="17"/>
    <tableColumn id="18" xr3:uid="{4482C926-1B20-443D-83FC-EF4C889502BE}" uniqueName="18" name="NetIncome_disp" queryTableFieldId="18"/>
    <tableColumn id="19" xr3:uid="{BC9ED951-659B-4253-A59B-9827AB87372C}" uniqueName="19" name="NetIncome_dsh" queryTableFieldId="19" dataDxfId="27"/>
    <tableColumn id="20" xr3:uid="{18A02E1F-A422-4E6B-ACEB-2C0CF4B8A8FB}" uniqueName="20" name="Revenue_dsh" queryTableFieldId="20" dataDxfId="26"/>
    <tableColumn id="21" xr3:uid="{4873E69F-3AB4-4AD8-8C1E-6FC1FD4D75B2}" uniqueName="21" name="EBITDA_dsh" queryTableFieldId="21" dataDxfId="25"/>
    <tableColumn id="22" xr3:uid="{3EF2D968-2F3F-4840-8E5D-09B784010A92}" uniqueName="22" name="Score Health" queryTableFieldId="22"/>
    <tableColumn id="23" xr3:uid="{E30711C5-0DC5-4E5E-B291-818C876DB2D3}" uniqueName="23" name="HISTORICAL HEALTH" queryTableField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3E7D1C-C531-4E0A-9699-7CEB2480BBD7}" name="FACT_FINANCIALS_MAX" displayName="FACT_FINANCIALS_MAX" ref="A1:R2" tableType="queryTable" insertRow="1" totalsRowShown="0">
  <autoFilter ref="A1:R2" xr:uid="{553E7D1C-C531-4E0A-9699-7CEB2480BBD7}"/>
  <tableColumns count="18">
    <tableColumn id="1" xr3:uid="{AB058255-A9B0-439D-8708-BDA10D949FEC}" uniqueName="1" name="Ticker" queryTableFieldId="1" dataDxfId="13"/>
    <tableColumn id="2" xr3:uid="{7BF03DFF-AAEA-4AF7-A28C-4F19898E6442}" uniqueName="2" name="Company" queryTableFieldId="2"/>
    <tableColumn id="3" xr3:uid="{4AF3B1CF-1166-4E95-AD3D-EA0C198E11A2}" uniqueName="3" name="OperatingProfitMargin" queryTableFieldId="3"/>
    <tableColumn id="4" xr3:uid="{A13918E7-EA41-4135-B883-55017417AA56}" uniqueName="4" name="AssetTurnover" queryTableFieldId="4"/>
    <tableColumn id="5" xr3:uid="{89250B81-8111-4F16-AE0E-AB83F9DC8BB6}" uniqueName="5" name="DebtToEquityRatio" queryTableFieldId="5"/>
    <tableColumn id="6" xr3:uid="{45D53A7E-ADAA-4B80-AEDD-99C216E8792E}" uniqueName="6" name="NetProfitMargin" queryTableFieldId="6"/>
    <tableColumn id="7" xr3:uid="{DFA173E8-41A4-463D-9B42-0DCDEFF13A8B}" uniqueName="7" name="Profitability" queryTableFieldId="7"/>
    <tableColumn id="8" xr3:uid="{77D633FE-2FB6-417E-9D08-9A1BF8C2069A}" uniqueName="8" name="Efficiency" queryTableFieldId="8"/>
    <tableColumn id="9" xr3:uid="{47FE6954-225E-4C23-8642-2FCEEC35DFF8}" uniqueName="9" name="Leverage" queryTableFieldId="9"/>
    <tableColumn id="10" xr3:uid="{CFC93E42-F89E-4AB5-89B9-0830C7897120}" uniqueName="10" name="Financial Health" queryTableFieldId="10"/>
    <tableColumn id="12" xr3:uid="{E3395F31-C238-4B83-9E5F-A202199469DB}" uniqueName="12" name="Date" queryTableFieldId="12" dataDxfId="12"/>
    <tableColumn id="13" xr3:uid="{72D68EA8-FEB9-4398-B8F2-BACE804513BD}" uniqueName="13" name="Year" queryTableFieldId="13"/>
    <tableColumn id="14" xr3:uid="{9A6A0AB2-7C3A-46B8-9E1C-84F9AE7798C3}" uniqueName="14" name="Revenue" queryTableFieldId="14"/>
    <tableColumn id="15" xr3:uid="{7EDE15EB-4EDE-4BAF-9E14-73FD83C24F6E}" uniqueName="15" name="netIncome" queryTableFieldId="15"/>
    <tableColumn id="16" xr3:uid="{0D03711D-250F-4E8E-B79B-DA936B342BDA}" uniqueName="16" name="EBITDA" queryTableFieldId="16"/>
    <tableColumn id="17" xr3:uid="{AD472B1E-CF2D-4406-98AA-AB1DD7122113}" uniqueName="17" name="Revenue_disp" queryTableFieldId="17" dataDxfId="11"/>
    <tableColumn id="18" xr3:uid="{07925C73-2968-45E9-BEA0-9D77BE0178EA}" uniqueName="18" name="EBITDA_disp" queryTableFieldId="18"/>
    <tableColumn id="19" xr3:uid="{6FAA7BA6-1623-48C6-A984-16D98E56DCBA}" uniqueName="19" name="NetIncome_disp" queryTableField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F1744E6-78DC-43F6-9360-B1ED9263A823}" name="tblTickers" displayName="tblTickers" ref="C3:D4" insertRow="1" totalsRowShown="0">
  <autoFilter ref="C3:D4" xr:uid="{3F1744E6-78DC-43F6-9360-B1ED9263A823}"/>
  <tableColumns count="2">
    <tableColumn id="1" xr3:uid="{023AE2E3-F8E0-48F2-B727-776BD1EA45D3}" name="Ticker"/>
    <tableColumn id="2" xr3:uid="{0DEAA1A1-258D-43AC-8252-34396DAB95D3}" name="Compan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9.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BFC16-DD24-4515-BFDE-038A301D8882}">
  <sheetPr codeName="Sheet2"/>
  <dimension ref="A1:W2"/>
  <sheetViews>
    <sheetView zoomScaleNormal="100" workbookViewId="0">
      <selection activeCell="D15" sqref="D15"/>
    </sheetView>
  </sheetViews>
  <sheetFormatPr defaultRowHeight="15" x14ac:dyDescent="0.25"/>
  <cols>
    <col min="1" max="1" width="11.85546875" bestFit="1" customWidth="1"/>
    <col min="2" max="2" width="23.42578125" bestFit="1" customWidth="1"/>
    <col min="3" max="3" width="16.42578125" bestFit="1" customWidth="1"/>
    <col min="4" max="4" width="20.5703125" bestFit="1" customWidth="1"/>
    <col min="5" max="5" width="17.7109375" bestFit="1" customWidth="1"/>
    <col min="6" max="6" width="13.85546875" bestFit="1" customWidth="1"/>
    <col min="7" max="7" width="12.28515625" bestFit="1" customWidth="1"/>
    <col min="8" max="8" width="11.42578125" bestFit="1" customWidth="1"/>
    <col min="9" max="9" width="17.85546875" bestFit="1" customWidth="1"/>
    <col min="10" max="10" width="8.7109375" bestFit="1" customWidth="1"/>
    <col min="11" max="11" width="10.42578125" bestFit="1" customWidth="1"/>
    <col min="12" max="12" width="7.28515625" bestFit="1" customWidth="1"/>
    <col min="13" max="13" width="12" bestFit="1" customWidth="1"/>
    <col min="14" max="14" width="13" bestFit="1" customWidth="1"/>
    <col min="15" max="15" width="12" bestFit="1" customWidth="1"/>
    <col min="16" max="16" width="16.140625" bestFit="1" customWidth="1"/>
    <col min="17" max="17" width="14.42578125" bestFit="1" customWidth="1"/>
    <col min="18" max="18" width="18.140625" bestFit="1" customWidth="1"/>
    <col min="19" max="19" width="17.5703125" bestFit="1" customWidth="1"/>
    <col min="20" max="20" width="15.5703125" bestFit="1" customWidth="1"/>
    <col min="21" max="21" width="13.85546875" bestFit="1" customWidth="1"/>
    <col min="22" max="22" width="14.85546875" bestFit="1" customWidth="1"/>
    <col min="23" max="23" width="22.140625" bestFit="1" customWidth="1"/>
  </cols>
  <sheetData>
    <row r="1" spans="1:23" x14ac:dyDescent="0.25">
      <c r="A1" t="s">
        <v>0</v>
      </c>
      <c r="B1" t="s">
        <v>8</v>
      </c>
      <c r="C1" t="s">
        <v>9</v>
      </c>
      <c r="D1" t="s">
        <v>13</v>
      </c>
      <c r="E1" t="s">
        <v>7</v>
      </c>
      <c r="F1" t="s">
        <v>10</v>
      </c>
      <c r="G1" t="s">
        <v>11</v>
      </c>
      <c r="H1" t="s">
        <v>12</v>
      </c>
      <c r="I1" t="s">
        <v>15</v>
      </c>
      <c r="J1" t="s">
        <v>1</v>
      </c>
      <c r="K1" t="s">
        <v>3</v>
      </c>
      <c r="L1" t="s">
        <v>14</v>
      </c>
      <c r="M1" t="s">
        <v>4</v>
      </c>
      <c r="N1" t="s">
        <v>6</v>
      </c>
      <c r="O1" t="s">
        <v>5</v>
      </c>
      <c r="P1" t="s">
        <v>16</v>
      </c>
      <c r="Q1" t="s">
        <v>17</v>
      </c>
      <c r="R1" t="s">
        <v>18</v>
      </c>
      <c r="S1" t="s">
        <v>19</v>
      </c>
      <c r="T1" t="s">
        <v>20</v>
      </c>
      <c r="U1" t="s">
        <v>21</v>
      </c>
      <c r="V1" t="s">
        <v>42</v>
      </c>
      <c r="W1" t="s">
        <v>46</v>
      </c>
    </row>
    <row r="2" spans="1:23" x14ac:dyDescent="0.25">
      <c r="A2" s="2"/>
      <c r="J2" s="2"/>
      <c r="K2" s="1"/>
      <c r="S2" s="2"/>
      <c r="T2" s="2"/>
      <c r="U2"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E09-0FF1-4078-9663-B99DD46612BB}">
  <sheetPr codeName="Sheet4"/>
  <dimension ref="A1:H56"/>
  <sheetViews>
    <sheetView zoomScale="115" zoomScaleNormal="115" workbookViewId="0">
      <selection activeCell="A52" sqref="A52:A56"/>
    </sheetView>
  </sheetViews>
  <sheetFormatPr defaultRowHeight="15" x14ac:dyDescent="0.25"/>
  <cols>
    <col min="1" max="1" width="19.85546875" bestFit="1" customWidth="1"/>
    <col min="2" max="2" width="31.140625" bestFit="1" customWidth="1"/>
    <col min="3" max="3" width="22.140625" bestFit="1" customWidth="1"/>
    <col min="4" max="4" width="18.5703125" bestFit="1" customWidth="1"/>
    <col min="5" max="5" width="9.7109375" bestFit="1" customWidth="1"/>
    <col min="6" max="6" width="25.140625" bestFit="1" customWidth="1"/>
    <col min="7" max="7" width="21" bestFit="1" customWidth="1"/>
    <col min="8" max="8" width="28.140625" bestFit="1" customWidth="1"/>
    <col min="9" max="9" width="24.140625" bestFit="1" customWidth="1"/>
  </cols>
  <sheetData>
    <row r="1" spans="1:5" x14ac:dyDescent="0.25">
      <c r="A1" s="4" t="s">
        <v>1</v>
      </c>
      <c r="B1" t="s">
        <v>49</v>
      </c>
      <c r="D1" s="4" t="s">
        <v>1</v>
      </c>
      <c r="E1" t="s">
        <v>50</v>
      </c>
    </row>
    <row r="3" spans="1:5" x14ac:dyDescent="0.25">
      <c r="A3" s="4" t="s">
        <v>22</v>
      </c>
      <c r="B3" t="s">
        <v>23</v>
      </c>
    </row>
    <row r="4" spans="1:5" x14ac:dyDescent="0.25">
      <c r="A4" s="5" t="s">
        <v>50</v>
      </c>
      <c r="B4" s="9"/>
    </row>
    <row r="11" spans="1:5" x14ac:dyDescent="0.25">
      <c r="A11" s="4" t="s">
        <v>22</v>
      </c>
      <c r="B11" t="s">
        <v>24</v>
      </c>
    </row>
    <row r="12" spans="1:5" x14ac:dyDescent="0.25">
      <c r="A12" s="5" t="s">
        <v>50</v>
      </c>
      <c r="B12" s="2"/>
    </row>
    <row r="20" spans="1:4" x14ac:dyDescent="0.25">
      <c r="A20" s="4" t="s">
        <v>14</v>
      </c>
      <c r="B20" t="s">
        <v>30</v>
      </c>
      <c r="C20" t="s">
        <v>31</v>
      </c>
      <c r="D20" t="s">
        <v>29</v>
      </c>
    </row>
    <row r="21" spans="1:4" x14ac:dyDescent="0.25">
      <c r="A21" t="s">
        <v>50</v>
      </c>
      <c r="B21" s="2"/>
      <c r="C21" s="2"/>
      <c r="D21" s="2"/>
    </row>
    <row r="34" spans="1:8" x14ac:dyDescent="0.25">
      <c r="A34" s="4" t="s">
        <v>22</v>
      </c>
      <c r="B34" t="s">
        <v>23</v>
      </c>
      <c r="C34" t="s">
        <v>24</v>
      </c>
      <c r="D34" t="s">
        <v>29</v>
      </c>
      <c r="E34" t="s">
        <v>25</v>
      </c>
      <c r="F34" t="s">
        <v>27</v>
      </c>
      <c r="G34" t="s">
        <v>28</v>
      </c>
      <c r="H34" t="s">
        <v>26</v>
      </c>
    </row>
    <row r="35" spans="1:8" x14ac:dyDescent="0.25">
      <c r="A35" s="5" t="s">
        <v>50</v>
      </c>
      <c r="B35" s="2"/>
      <c r="C35" s="2"/>
      <c r="D35" s="2"/>
      <c r="E35" s="2"/>
      <c r="F35" s="2"/>
      <c r="G35" s="2"/>
      <c r="H35" s="2"/>
    </row>
    <row r="41" spans="1:8" x14ac:dyDescent="0.25">
      <c r="A41" s="4" t="s">
        <v>1</v>
      </c>
      <c r="B41" t="s">
        <v>50</v>
      </c>
      <c r="C41" s="4" t="s">
        <v>1</v>
      </c>
      <c r="D41" t="s">
        <v>50</v>
      </c>
    </row>
    <row r="43" spans="1:8" x14ac:dyDescent="0.25">
      <c r="A43" s="4" t="s">
        <v>22</v>
      </c>
      <c r="B43" t="s">
        <v>29</v>
      </c>
      <c r="C43" s="4" t="s">
        <v>22</v>
      </c>
      <c r="D43" t="s">
        <v>43</v>
      </c>
    </row>
    <row r="44" spans="1:8" x14ac:dyDescent="0.25">
      <c r="A44" s="5" t="s">
        <v>50</v>
      </c>
      <c r="B44" s="2"/>
      <c r="C44" s="5" t="s">
        <v>50</v>
      </c>
      <c r="D44" s="2"/>
    </row>
    <row r="49" spans="1:6" ht="24" x14ac:dyDescent="0.4">
      <c r="A49" s="11" t="s">
        <v>1</v>
      </c>
      <c r="B49" s="12" t="s">
        <v>49</v>
      </c>
    </row>
    <row r="50" spans="1:6" ht="24" x14ac:dyDescent="0.4">
      <c r="A50" s="12"/>
      <c r="B50" s="12"/>
    </row>
    <row r="51" spans="1:6" ht="24" x14ac:dyDescent="0.4">
      <c r="A51" s="11" t="s">
        <v>22</v>
      </c>
      <c r="B51" s="12" t="s">
        <v>43</v>
      </c>
      <c r="D51" t="s">
        <v>14</v>
      </c>
      <c r="E51" t="s">
        <v>47</v>
      </c>
      <c r="F51" t="s">
        <v>48</v>
      </c>
    </row>
    <row r="52" spans="1:6" ht="24" x14ac:dyDescent="0.4">
      <c r="A52" s="13" t="s">
        <v>50</v>
      </c>
      <c r="B52" s="14"/>
      <c r="D52" t="str">
        <f>A52</f>
        <v>(blank)</v>
      </c>
      <c r="E52">
        <f>GETPIVOTDATA("Score Health",$A$51,"Year",D52)</f>
        <v>0</v>
      </c>
      <c r="F52" t="str">
        <f>IF(E52=3,"STRONG",IF(E52=2,"WEAK","MEDIUM"))</f>
        <v>MEDIUM</v>
      </c>
    </row>
    <row r="53" spans="1:6" ht="24" x14ac:dyDescent="0.4">
      <c r="D53">
        <f t="shared" ref="D53:D56" si="0">A53</f>
        <v>0</v>
      </c>
      <c r="E53" t="e">
        <f t="shared" ref="E53:E56" si="1">GETPIVOTDATA("Score Health",$A$51,"Year",D53)</f>
        <v>#REF!</v>
      </c>
      <c r="F53" t="e">
        <f t="shared" ref="F53:F56" si="2">IF(E53=3,"STRONG",IF(E53=2,"WEAK","MEDIUM"))</f>
        <v>#REF!</v>
      </c>
    </row>
    <row r="54" spans="1:6" ht="24" x14ac:dyDescent="0.4">
      <c r="D54">
        <f t="shared" si="0"/>
        <v>0</v>
      </c>
      <c r="E54" t="e">
        <f t="shared" si="1"/>
        <v>#REF!</v>
      </c>
      <c r="F54" t="e">
        <f t="shared" si="2"/>
        <v>#REF!</v>
      </c>
    </row>
    <row r="55" spans="1:6" ht="24" x14ac:dyDescent="0.4">
      <c r="D55">
        <f t="shared" si="0"/>
        <v>0</v>
      </c>
      <c r="E55" t="e">
        <f t="shared" si="1"/>
        <v>#REF!</v>
      </c>
      <c r="F55" t="e">
        <f t="shared" si="2"/>
        <v>#REF!</v>
      </c>
    </row>
    <row r="56" spans="1:6" ht="24" x14ac:dyDescent="0.4">
      <c r="D56">
        <f t="shared" si="0"/>
        <v>0</v>
      </c>
      <c r="E56" t="e">
        <f t="shared" si="1"/>
        <v>#REF!</v>
      </c>
      <c r="F56" t="e">
        <f t="shared" si="2"/>
        <v>#REF!</v>
      </c>
    </row>
  </sheetData>
  <pageMargins left="0.7" right="0.7" top="0.75" bottom="0.75" header="0.3" footer="0.3"/>
  <pageSetup paperSize="9" orientation="portrait" r:id="rId9"/>
  <drawing r:id="rId10"/>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491BC-8B76-4D98-8B6E-B01FCB0ECE5E}">
  <sheetPr codeName="Sheet5"/>
  <dimension ref="A1:R27"/>
  <sheetViews>
    <sheetView showGridLines="0" showRowColHeaders="0" topLeftCell="A16" zoomScaleNormal="100" workbookViewId="0">
      <selection activeCell="C21" sqref="C21:D21"/>
    </sheetView>
  </sheetViews>
  <sheetFormatPr defaultRowHeight="15" x14ac:dyDescent="0.25"/>
  <cols>
    <col min="1" max="1" width="9.140625" style="6"/>
    <col min="2" max="2" width="13.42578125" style="6" bestFit="1" customWidth="1"/>
    <col min="3" max="3" width="2.28515625" style="6" customWidth="1"/>
    <col min="4" max="4" width="7.42578125" style="6" bestFit="1" customWidth="1"/>
    <col min="5" max="5" width="12" style="6" bestFit="1" customWidth="1"/>
    <col min="6" max="6" width="14.5703125" style="6" bestFit="1" customWidth="1"/>
    <col min="7" max="7" width="9.7109375" style="6" bestFit="1" customWidth="1"/>
    <col min="8" max="8" width="19.85546875" style="6" bestFit="1" customWidth="1"/>
    <col min="9" max="9" width="14.28515625" style="6" bestFit="1" customWidth="1"/>
    <col min="10" max="10" width="14.5703125" style="6" bestFit="1" customWidth="1"/>
    <col min="11" max="11" width="25.7109375" style="6" bestFit="1" customWidth="1"/>
    <col min="12" max="12" width="19.85546875" style="6" bestFit="1" customWidth="1"/>
    <col min="13" max="13" width="14.28515625" style="6" bestFit="1" customWidth="1"/>
    <col min="14" max="14" width="14.5703125" style="6" bestFit="1" customWidth="1"/>
    <col min="15" max="16" width="25.7109375" style="6" bestFit="1" customWidth="1"/>
    <col min="17" max="16384" width="9.140625" style="6"/>
  </cols>
  <sheetData>
    <row r="1" spans="2:18" ht="15" customHeight="1" x14ac:dyDescent="0.25">
      <c r="B1" s="6" t="s">
        <v>2</v>
      </c>
    </row>
    <row r="2" spans="2:18" ht="15" customHeight="1" x14ac:dyDescent="0.25">
      <c r="Q2" s="7" t="str">
        <f>IFERROR(_xlfn.CONCAT("$"," ",VLOOKUP(MAX(PVTABLES!A4:A8),PVTABLES!A4:B8,2,FALSE)," ","B"),"0")</f>
        <v>0</v>
      </c>
      <c r="R2" s="10" t="s">
        <v>39</v>
      </c>
    </row>
    <row r="3" spans="2:18" ht="15" customHeight="1" x14ac:dyDescent="0.25">
      <c r="Q3" s="7" t="str">
        <f>IFERROR(_xlfn.CONCAT("$"," ",VLOOKUP(MAX(PVTABLES!A12:A16),PVTABLES!A12:B16,2,FALSE)," ","B"),"0")</f>
        <v>0</v>
      </c>
      <c r="R3" s="10" t="s">
        <v>40</v>
      </c>
    </row>
    <row r="4" spans="2:18" x14ac:dyDescent="0.25">
      <c r="Q4" s="7" t="str">
        <f>IFERROR(_xlfn.CONCAT("$"," ",VLOOKUP(MAX(PVTABLES!A44:A48),PVTABLES!A44:B48,2,FALSE)," ","B"),"0")</f>
        <v>0</v>
      </c>
      <c r="R4" s="10" t="s">
        <v>5</v>
      </c>
    </row>
    <row r="5" spans="2:18" x14ac:dyDescent="0.25">
      <c r="Q5" s="7" t="str">
        <f>IFERROR(_xlfn.CONCAT(VLOOKUP(MAX(PVTABLES!A21:A24),PVTABLES!A21:B25,2,FALSE)," ","%"),"0")</f>
        <v>0</v>
      </c>
      <c r="R5" s="10" t="s">
        <v>41</v>
      </c>
    </row>
    <row r="6" spans="2:18" x14ac:dyDescent="0.25">
      <c r="Q6" s="7" t="e">
        <f>IF(Q7=3,"Strong",IF(Q7=2,"Medium","Weak"))</f>
        <v>#N/A</v>
      </c>
      <c r="R6" s="10" t="s">
        <v>45</v>
      </c>
    </row>
    <row r="7" spans="2:18" x14ac:dyDescent="0.25">
      <c r="Q7" s="7" t="e">
        <f>IF(VLOOKUP(MAX(PVTABLES!C44:C48),PVTABLES!C44:D48,2,FALSE)=3,"STRONG",IF(VLOOKUP(MAX(PVTABLES!C44:C48),PVTABLES!C44:D48,2,FALSE)=2,"WEAK","MEDIUM"))</f>
        <v>#N/A</v>
      </c>
      <c r="R7" s="10" t="s">
        <v>44</v>
      </c>
    </row>
    <row r="12" spans="2:18" x14ac:dyDescent="0.25">
      <c r="O12" s="7"/>
    </row>
    <row r="18" spans="1:11" x14ac:dyDescent="0.25">
      <c r="A18" s="7"/>
    </row>
    <row r="22" spans="1:11" x14ac:dyDescent="0.25">
      <c r="D22"/>
      <c r="E22" s="8" t="s">
        <v>32</v>
      </c>
      <c r="F22" s="8" t="s">
        <v>33</v>
      </c>
      <c r="G22" s="8" t="s">
        <v>34</v>
      </c>
      <c r="H22" s="8" t="s">
        <v>35</v>
      </c>
      <c r="I22" s="8" t="s">
        <v>36</v>
      </c>
      <c r="J22" s="8" t="s">
        <v>37</v>
      </c>
      <c r="K22" s="8" t="s">
        <v>38</v>
      </c>
    </row>
    <row r="23" spans="1:11" x14ac:dyDescent="0.25">
      <c r="D23" s="5" t="s">
        <v>50</v>
      </c>
      <c r="E23" s="2"/>
      <c r="F23" s="2"/>
      <c r="G23" s="2"/>
      <c r="H23" s="2"/>
      <c r="I23" s="2"/>
      <c r="J23" s="2"/>
      <c r="K23" s="2"/>
    </row>
    <row r="24" spans="1:11" x14ac:dyDescent="0.25">
      <c r="D24"/>
      <c r="E24"/>
      <c r="F24"/>
      <c r="G24"/>
      <c r="H24"/>
      <c r="I24"/>
      <c r="J24"/>
      <c r="K24"/>
    </row>
    <row r="25" spans="1:11" x14ac:dyDescent="0.25">
      <c r="D25"/>
      <c r="E25"/>
      <c r="F25"/>
      <c r="G25"/>
      <c r="H25"/>
      <c r="I25"/>
      <c r="J25"/>
      <c r="K25"/>
    </row>
    <row r="26" spans="1:11" x14ac:dyDescent="0.25">
      <c r="D26"/>
      <c r="E26"/>
      <c r="F26"/>
      <c r="G26"/>
      <c r="H26"/>
      <c r="I26"/>
      <c r="J26"/>
      <c r="K26"/>
    </row>
    <row r="27" spans="1:11" x14ac:dyDescent="0.25">
      <c r="D27"/>
      <c r="E27"/>
      <c r="F27"/>
      <c r="G27"/>
      <c r="H27"/>
      <c r="I27"/>
      <c r="J27"/>
      <c r="K27"/>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79A4C-BF8D-4DF8-8D42-5CE0D76A797E}">
  <sheetPr codeName="Sheet1"/>
  <dimension ref="A1:R2"/>
  <sheetViews>
    <sheetView topLeftCell="G1" workbookViewId="0">
      <selection activeCell="G2" sqref="A2:XFD2"/>
    </sheetView>
  </sheetViews>
  <sheetFormatPr defaultRowHeight="15" x14ac:dyDescent="0.25"/>
  <cols>
    <col min="1" max="1" width="8.7109375" bestFit="1" customWidth="1"/>
    <col min="2" max="2" width="11.85546875" bestFit="1" customWidth="1"/>
    <col min="3" max="3" width="23.42578125" bestFit="1" customWidth="1"/>
    <col min="4" max="4" width="16.42578125" bestFit="1" customWidth="1"/>
    <col min="5" max="5" width="20.5703125" bestFit="1" customWidth="1"/>
    <col min="6" max="6" width="17.7109375" bestFit="1" customWidth="1"/>
    <col min="7" max="7" width="13.85546875" bestFit="1" customWidth="1"/>
    <col min="8" max="8" width="12.28515625" bestFit="1" customWidth="1"/>
    <col min="9" max="9" width="11.42578125" bestFit="1" customWidth="1"/>
    <col min="10" max="10" width="17.85546875" bestFit="1" customWidth="1"/>
    <col min="11" max="11" width="10.42578125" bestFit="1" customWidth="1"/>
    <col min="12" max="12" width="7.28515625" style="3" bestFit="1" customWidth="1"/>
    <col min="13" max="13" width="12" bestFit="1" customWidth="1"/>
    <col min="14" max="14" width="13" bestFit="1" customWidth="1"/>
    <col min="15" max="15" width="12" bestFit="1" customWidth="1"/>
    <col min="16" max="16" width="16.140625" bestFit="1" customWidth="1"/>
    <col min="17" max="17" width="14.42578125" bestFit="1" customWidth="1"/>
    <col min="18" max="18" width="18.140625" bestFit="1" customWidth="1"/>
    <col min="19" max="19" width="18.140625" customWidth="1"/>
  </cols>
  <sheetData>
    <row r="1" spans="1:18" x14ac:dyDescent="0.25">
      <c r="A1" t="s">
        <v>1</v>
      </c>
      <c r="B1" t="s">
        <v>0</v>
      </c>
      <c r="C1" t="s">
        <v>8</v>
      </c>
      <c r="D1" t="s">
        <v>9</v>
      </c>
      <c r="E1" t="s">
        <v>13</v>
      </c>
      <c r="F1" t="s">
        <v>7</v>
      </c>
      <c r="G1" t="s">
        <v>10</v>
      </c>
      <c r="H1" t="s">
        <v>11</v>
      </c>
      <c r="I1" t="s">
        <v>12</v>
      </c>
      <c r="J1" t="s">
        <v>15</v>
      </c>
      <c r="K1" s="1" t="s">
        <v>3</v>
      </c>
      <c r="L1" t="s">
        <v>14</v>
      </c>
      <c r="M1" t="s">
        <v>4</v>
      </c>
      <c r="N1" t="s">
        <v>6</v>
      </c>
      <c r="O1" t="s">
        <v>5</v>
      </c>
      <c r="P1" s="3" t="s">
        <v>16</v>
      </c>
      <c r="Q1" t="s">
        <v>17</v>
      </c>
      <c r="R1" t="s">
        <v>18</v>
      </c>
    </row>
    <row r="2" spans="1:18" x14ac:dyDescent="0.25">
      <c r="A2" s="2"/>
      <c r="K2" s="1"/>
      <c r="L2"/>
      <c r="P2" s="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D8CB-5D29-46DA-AE9F-6A577E47B8F1}">
  <sheetPr codeName="Sheet16"/>
  <dimension ref="C3:D3"/>
  <sheetViews>
    <sheetView tabSelected="1" workbookViewId="0">
      <selection activeCell="H14" sqref="H14"/>
    </sheetView>
  </sheetViews>
  <sheetFormatPr defaultRowHeight="15" x14ac:dyDescent="0.25"/>
  <cols>
    <col min="3" max="3" width="13" customWidth="1"/>
    <col min="4" max="4" width="21.7109375" customWidth="1"/>
  </cols>
  <sheetData>
    <row r="3" spans="3:4" ht="20.25" customHeight="1" x14ac:dyDescent="0.25">
      <c r="C3" t="s">
        <v>1</v>
      </c>
      <c r="D3" t="s">
        <v>0</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9C795C0-214D-42F7-B974-EC7CE46FA6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FACT_FINANCIALS_CORRECT</vt:lpstr>
      <vt:lpstr>PVTABLES</vt:lpstr>
      <vt:lpstr>DASHBOARD</vt:lpstr>
      <vt:lpstr>FACT_FINANCIALS_MAX</vt:lpstr>
      <vt:lpstr>TICKERS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Ferrer</dc:creator>
  <cp:lastModifiedBy>Mariano Ferrer</cp:lastModifiedBy>
  <dcterms:created xsi:type="dcterms:W3CDTF">2026-03-29T17:50:11Z</dcterms:created>
  <dcterms:modified xsi:type="dcterms:W3CDTF">2026-05-01T21:11:29Z</dcterms:modified>
</cp:coreProperties>
</file>